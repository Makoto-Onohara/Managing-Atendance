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Users\yumasky\Desktop\"/>
    </mc:Choice>
  </mc:AlternateContent>
  <xr:revisionPtr revIDLastSave="0" documentId="13_ncr:1_{79063007-ADF0-42E8-9BF5-EA52209D12D6}" xr6:coauthVersionLast="46" xr6:coauthVersionMax="46" xr10:uidLastSave="{00000000-0000-0000-0000-000000000000}"/>
  <bookViews>
    <workbookView xWindow="-108" yWindow="-108" windowWidth="23256" windowHeight="12576" tabRatio="798" activeTab="5" xr2:uid="{00000000-000D-0000-FFFF-FFFF00000000}"/>
  </bookViews>
  <sheets>
    <sheet name="定数" sheetId="66" r:id="rId1"/>
    <sheet name="記入例" sheetId="78" r:id="rId2"/>
    <sheet name="届出" sheetId="22" r:id="rId3"/>
    <sheet name="振替出勤管理表" sheetId="23" r:id="rId4"/>
    <sheet name="4月" sheetId="65" r:id="rId5"/>
    <sheet name="5月" sheetId="67" r:id="rId6"/>
    <sheet name="6月" sheetId="68" r:id="rId7"/>
    <sheet name="7月" sheetId="69" r:id="rId8"/>
    <sheet name="8月" sheetId="70" r:id="rId9"/>
    <sheet name="9月" sheetId="71" r:id="rId10"/>
    <sheet name="10月" sheetId="72" r:id="rId11"/>
    <sheet name="11月" sheetId="73" r:id="rId12"/>
    <sheet name="12月" sheetId="74" r:id="rId13"/>
    <sheet name="1月" sheetId="75" r:id="rId14"/>
    <sheet name="2月" sheetId="76" r:id="rId15"/>
    <sheet name="3月" sheetId="77" r:id="rId16"/>
  </sheets>
  <functionGroups builtInGroupCount="19"/>
  <definedNames>
    <definedName name="_xlnm._FilterDatabase" localSheetId="10" hidden="1">'10月'!$J$8:$J$15</definedName>
    <definedName name="_xlnm._FilterDatabase" localSheetId="11" hidden="1">'11月'!$J$8:$J$15</definedName>
    <definedName name="_xlnm._FilterDatabase" localSheetId="12" hidden="1">'12月'!$J$8:$J$15</definedName>
    <definedName name="_xlnm._FilterDatabase" localSheetId="13" hidden="1">'1月'!$J$8:$J$15</definedName>
    <definedName name="_xlnm._FilterDatabase" localSheetId="14" hidden="1">'2月'!$J$8:$J$15</definedName>
    <definedName name="_xlnm._FilterDatabase" localSheetId="15" hidden="1">'3月'!$J$8:$J$15</definedName>
    <definedName name="_xlnm._FilterDatabase" localSheetId="4" hidden="1">'4月'!$J$8:$J$15</definedName>
    <definedName name="_xlnm._FilterDatabase" localSheetId="5" hidden="1">'5月'!$J$8:$J$15</definedName>
    <definedName name="_xlnm._FilterDatabase" localSheetId="6" hidden="1">'6月'!$J$8:$J$15</definedName>
    <definedName name="_xlnm._FilterDatabase" localSheetId="7" hidden="1">'7月'!$J$8:$J$15</definedName>
    <definedName name="_xlnm._FilterDatabase" localSheetId="8" hidden="1">'8月'!$J$8:$J$15</definedName>
    <definedName name="_xlnm._FilterDatabase" localSheetId="9" hidden="1">'9月'!$J$8:$J$15</definedName>
    <definedName name="_xlnm._FilterDatabase" localSheetId="1" hidden="1">記入例!$J$8:$J$15</definedName>
    <definedName name="_xlnm._FilterDatabase" localSheetId="3" hidden="1">振替出勤管理表!$O$12:$O$14</definedName>
    <definedName name="_xlnm._FilterDatabase" localSheetId="2" hidden="1">届出!#REF!</definedName>
    <definedName name="_xlnm.Print_Area" localSheetId="10">'10月'!$A$1:$I$41</definedName>
    <definedName name="_xlnm.Print_Area" localSheetId="11">'11月'!$A$1:$I$41</definedName>
    <definedName name="_xlnm.Print_Area" localSheetId="12">'12月'!$A$1:$I$41</definedName>
    <definedName name="_xlnm.Print_Area" localSheetId="13">'1月'!$A$1:$I$41</definedName>
    <definedName name="_xlnm.Print_Area" localSheetId="14">'2月'!$A$1:$I$41</definedName>
    <definedName name="_xlnm.Print_Area" localSheetId="15">'3月'!$A$1:$I$41</definedName>
    <definedName name="_xlnm.Print_Area" localSheetId="4">'4月'!$A$1:$I$41</definedName>
    <definedName name="_xlnm.Print_Area" localSheetId="5">'5月'!$A$1:$AE$41</definedName>
    <definedName name="_xlnm.Print_Area" localSheetId="6">'6月'!$A$1:$I$41</definedName>
    <definedName name="_xlnm.Print_Area" localSheetId="7">'7月'!$A$1:$I$41</definedName>
    <definedName name="_xlnm.Print_Area" localSheetId="8">'8月'!$A$1:$I$41</definedName>
    <definedName name="_xlnm.Print_Area" localSheetId="9">'9月'!$A$1:$I$41</definedName>
    <definedName name="_xlnm.Print_Area" localSheetId="1">記入例!$A$1:$I$41</definedName>
    <definedName name="社員番号">定数!$C$6</definedName>
    <definedName name="年度開始年月日">定数!$C$8</definedName>
    <definedName name="備考">定数!$C$12:$C$23</definedName>
    <definedName name="名前">定数!$C$7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23" l="1"/>
  <c r="C4" i="23"/>
  <c r="C4" i="22"/>
  <c r="A4" i="22"/>
  <c r="A1" i="23"/>
  <c r="A1" i="22"/>
  <c r="G16" i="78"/>
  <c r="A1" i="78"/>
  <c r="C2" i="78" s="1"/>
  <c r="B5" i="78"/>
  <c r="C5" i="78"/>
  <c r="G8" i="78"/>
  <c r="H8" i="78"/>
  <c r="I8" i="78"/>
  <c r="G9" i="78"/>
  <c r="G10" i="78"/>
  <c r="G11" i="78"/>
  <c r="H11" i="78"/>
  <c r="I11" i="78"/>
  <c r="G12" i="78"/>
  <c r="H12" i="78"/>
  <c r="I12" i="78"/>
  <c r="G13" i="78"/>
  <c r="H13" i="78"/>
  <c r="I13" i="78"/>
  <c r="G14" i="78"/>
  <c r="H14" i="78"/>
  <c r="I14" i="78"/>
  <c r="G15" i="78"/>
  <c r="H15" i="78"/>
  <c r="I15" i="78"/>
  <c r="H16" i="78"/>
  <c r="I16" i="78"/>
  <c r="G17" i="78"/>
  <c r="G18" i="78"/>
  <c r="G19" i="78"/>
  <c r="G20" i="78"/>
  <c r="G21" i="78"/>
  <c r="H21" i="78"/>
  <c r="I21" i="78"/>
  <c r="G22" i="78"/>
  <c r="H22" i="78"/>
  <c r="I22" i="78"/>
  <c r="G23" i="78"/>
  <c r="G24" i="78"/>
  <c r="G25" i="78"/>
  <c r="G26" i="78"/>
  <c r="G27" i="78"/>
  <c r="G28" i="78"/>
  <c r="H28" i="78"/>
  <c r="I28" i="78"/>
  <c r="G29" i="78"/>
  <c r="H29" i="78"/>
  <c r="I29" i="78"/>
  <c r="G30" i="78"/>
  <c r="G31" i="78"/>
  <c r="G32" i="78"/>
  <c r="G33" i="78"/>
  <c r="G34" i="78"/>
  <c r="G35" i="78"/>
  <c r="H35" i="78"/>
  <c r="I35" i="78"/>
  <c r="G36" i="78"/>
  <c r="H36" i="78"/>
  <c r="I36" i="78"/>
  <c r="G37" i="78"/>
  <c r="G38" i="78"/>
  <c r="E39" i="78"/>
  <c r="A1" i="77"/>
  <c r="C2" i="77"/>
  <c r="B5" i="77"/>
  <c r="C5" i="77"/>
  <c r="G8" i="77"/>
  <c r="G9" i="77"/>
  <c r="G10" i="77"/>
  <c r="G11" i="77"/>
  <c r="G12" i="77"/>
  <c r="G13" i="77"/>
  <c r="G14" i="77"/>
  <c r="G15" i="77"/>
  <c r="G16" i="77"/>
  <c r="G17" i="77"/>
  <c r="G18" i="77"/>
  <c r="G19" i="77"/>
  <c r="G20" i="77"/>
  <c r="G21" i="77"/>
  <c r="G22" i="77"/>
  <c r="G23" i="77"/>
  <c r="G24" i="77"/>
  <c r="G25" i="77"/>
  <c r="G26" i="77"/>
  <c r="G27" i="77"/>
  <c r="G28" i="77"/>
  <c r="G29" i="77"/>
  <c r="G30" i="77"/>
  <c r="G31" i="77"/>
  <c r="G32" i="77"/>
  <c r="G33" i="77"/>
  <c r="G34" i="77"/>
  <c r="G35" i="77"/>
  <c r="G36" i="77"/>
  <c r="G37" i="77"/>
  <c r="G38" i="77"/>
  <c r="E39" i="77"/>
  <c r="A1" i="76"/>
  <c r="C2" i="76"/>
  <c r="B5" i="76"/>
  <c r="C5" i="76"/>
  <c r="G8" i="76"/>
  <c r="G9" i="76"/>
  <c r="G10" i="76"/>
  <c r="G11" i="76"/>
  <c r="G12" i="76"/>
  <c r="G13" i="76"/>
  <c r="G14" i="76"/>
  <c r="G15" i="76"/>
  <c r="G16" i="76"/>
  <c r="G17" i="76"/>
  <c r="G18" i="76"/>
  <c r="H18" i="76"/>
  <c r="I18" i="76"/>
  <c r="G19" i="76"/>
  <c r="G20" i="76"/>
  <c r="G21" i="76"/>
  <c r="G22" i="76"/>
  <c r="G23" i="76"/>
  <c r="G24" i="76"/>
  <c r="G25" i="76"/>
  <c r="G26" i="76"/>
  <c r="G27" i="76"/>
  <c r="G28" i="76"/>
  <c r="G29" i="76"/>
  <c r="G30" i="76"/>
  <c r="G31" i="76"/>
  <c r="G32" i="76"/>
  <c r="G33" i="76"/>
  <c r="G34" i="76"/>
  <c r="G35" i="76"/>
  <c r="G36" i="76"/>
  <c r="G37" i="76"/>
  <c r="H37" i="76"/>
  <c r="I37" i="76"/>
  <c r="G38" i="76"/>
  <c r="H38" i="76"/>
  <c r="I38" i="76"/>
  <c r="E39" i="76"/>
  <c r="A1" i="75"/>
  <c r="C2" i="75"/>
  <c r="B5" i="75"/>
  <c r="C5" i="75"/>
  <c r="G8" i="75"/>
  <c r="H8" i="75"/>
  <c r="I8" i="75"/>
  <c r="G9" i="75"/>
  <c r="H9" i="75"/>
  <c r="I9" i="75"/>
  <c r="G10" i="75"/>
  <c r="G11" i="75"/>
  <c r="G12" i="75"/>
  <c r="G13" i="75"/>
  <c r="G14" i="75"/>
  <c r="G15" i="75"/>
  <c r="G16" i="75"/>
  <c r="G17" i="75"/>
  <c r="G18" i="75"/>
  <c r="G19" i="75"/>
  <c r="G20" i="75"/>
  <c r="G21" i="75"/>
  <c r="G22" i="75"/>
  <c r="G23" i="75"/>
  <c r="G24" i="75"/>
  <c r="G25" i="75"/>
  <c r="G26" i="75"/>
  <c r="G27" i="75"/>
  <c r="G28" i="75"/>
  <c r="G29" i="75"/>
  <c r="G30" i="75"/>
  <c r="G31" i="75"/>
  <c r="G32" i="75"/>
  <c r="G33" i="75"/>
  <c r="G34" i="75"/>
  <c r="G35" i="75"/>
  <c r="G36" i="75"/>
  <c r="G37" i="75"/>
  <c r="G38" i="75"/>
  <c r="E39" i="75"/>
  <c r="A1" i="74"/>
  <c r="C2" i="74"/>
  <c r="B5" i="74"/>
  <c r="C5" i="74"/>
  <c r="G8" i="74"/>
  <c r="G9" i="74"/>
  <c r="G10" i="74"/>
  <c r="G39" i="74"/>
  <c r="G11" i="74"/>
  <c r="G12" i="74"/>
  <c r="G13" i="74"/>
  <c r="G14" i="74"/>
  <c r="G15" i="74"/>
  <c r="G16" i="74"/>
  <c r="G17" i="74"/>
  <c r="G18" i="74"/>
  <c r="G19" i="74"/>
  <c r="G20" i="74"/>
  <c r="G21" i="74"/>
  <c r="G22" i="74"/>
  <c r="G23" i="74"/>
  <c r="G24" i="74"/>
  <c r="G25" i="74"/>
  <c r="G26" i="74"/>
  <c r="G27" i="74"/>
  <c r="G28" i="74"/>
  <c r="G29" i="74"/>
  <c r="G30" i="74"/>
  <c r="G31" i="74"/>
  <c r="G32" i="74"/>
  <c r="G33" i="74"/>
  <c r="G34" i="74"/>
  <c r="G35" i="74"/>
  <c r="G36" i="74"/>
  <c r="H36" i="74"/>
  <c r="I36" i="74"/>
  <c r="G37" i="74"/>
  <c r="H37" i="74"/>
  <c r="I37" i="74"/>
  <c r="G38" i="74"/>
  <c r="H38" i="74"/>
  <c r="I38" i="74"/>
  <c r="E39" i="74"/>
  <c r="A1" i="73"/>
  <c r="C2" i="73"/>
  <c r="B5" i="73"/>
  <c r="C5" i="73"/>
  <c r="G8" i="73"/>
  <c r="G9" i="73"/>
  <c r="G10" i="73"/>
  <c r="G11" i="73"/>
  <c r="G12" i="73"/>
  <c r="G13" i="73"/>
  <c r="G14" i="73"/>
  <c r="G15" i="73"/>
  <c r="G16" i="73"/>
  <c r="G17" i="73"/>
  <c r="G18" i="73"/>
  <c r="G19" i="73"/>
  <c r="G20" i="73"/>
  <c r="G21" i="73"/>
  <c r="G22" i="73"/>
  <c r="G23" i="73"/>
  <c r="G24" i="73"/>
  <c r="G25" i="73"/>
  <c r="G26" i="73"/>
  <c r="G27" i="73"/>
  <c r="G28" i="73"/>
  <c r="G29" i="73"/>
  <c r="G30" i="73"/>
  <c r="H30" i="73"/>
  <c r="I30" i="73"/>
  <c r="G31" i="73"/>
  <c r="G32" i="73"/>
  <c r="G33" i="73"/>
  <c r="G34" i="73"/>
  <c r="G35" i="73"/>
  <c r="G36" i="73"/>
  <c r="G37" i="73"/>
  <c r="G38" i="73"/>
  <c r="H38" i="73"/>
  <c r="I38" i="73"/>
  <c r="E39" i="73"/>
  <c r="A1" i="72"/>
  <c r="C2" i="72"/>
  <c r="B5" i="72"/>
  <c r="C5" i="72"/>
  <c r="G8" i="72"/>
  <c r="G9" i="72"/>
  <c r="G10" i="72"/>
  <c r="G39" i="72"/>
  <c r="G11" i="72"/>
  <c r="G12" i="72"/>
  <c r="G13" i="72"/>
  <c r="G14" i="72"/>
  <c r="G15" i="72"/>
  <c r="G16" i="72"/>
  <c r="G17" i="72"/>
  <c r="G18" i="72"/>
  <c r="G19" i="72"/>
  <c r="G20" i="72"/>
  <c r="G21" i="72"/>
  <c r="G22" i="72"/>
  <c r="G23" i="72"/>
  <c r="G24" i="72"/>
  <c r="G25" i="72"/>
  <c r="G26" i="72"/>
  <c r="G27" i="72"/>
  <c r="G28" i="72"/>
  <c r="G29" i="72"/>
  <c r="G30" i="72"/>
  <c r="G31" i="72"/>
  <c r="G32" i="72"/>
  <c r="G33" i="72"/>
  <c r="G34" i="72"/>
  <c r="G35" i="72"/>
  <c r="G36" i="72"/>
  <c r="G37" i="72"/>
  <c r="G38" i="72"/>
  <c r="E39" i="72"/>
  <c r="A1" i="71"/>
  <c r="C2" i="71"/>
  <c r="B5" i="71"/>
  <c r="C5" i="71"/>
  <c r="G8" i="71"/>
  <c r="G9" i="71"/>
  <c r="G10" i="71"/>
  <c r="G11" i="71"/>
  <c r="G12" i="71"/>
  <c r="G13" i="71"/>
  <c r="G14" i="71"/>
  <c r="G15" i="71"/>
  <c r="G16" i="71"/>
  <c r="G17" i="71"/>
  <c r="G18" i="71"/>
  <c r="G19" i="71"/>
  <c r="G20" i="71"/>
  <c r="G21" i="71"/>
  <c r="G22" i="71"/>
  <c r="G23" i="71"/>
  <c r="G24" i="71"/>
  <c r="G25" i="71"/>
  <c r="G26" i="71"/>
  <c r="G27" i="71"/>
  <c r="G28" i="71"/>
  <c r="G29" i="71"/>
  <c r="G30" i="71"/>
  <c r="G31" i="71"/>
  <c r="G32" i="71"/>
  <c r="G33" i="71"/>
  <c r="G34" i="71"/>
  <c r="G35" i="71"/>
  <c r="G36" i="71"/>
  <c r="G37" i="71"/>
  <c r="G38" i="71"/>
  <c r="H38" i="71"/>
  <c r="I38" i="71"/>
  <c r="E39" i="71"/>
  <c r="A1" i="70"/>
  <c r="C2" i="70"/>
  <c r="B5" i="70"/>
  <c r="C5" i="70"/>
  <c r="G8" i="70"/>
  <c r="G9" i="70"/>
  <c r="G10" i="70"/>
  <c r="G13" i="70"/>
  <c r="G14" i="70"/>
  <c r="G15" i="70"/>
  <c r="G16" i="70"/>
  <c r="G17" i="70"/>
  <c r="G20" i="70"/>
  <c r="G21" i="70"/>
  <c r="G22" i="70"/>
  <c r="G23" i="70"/>
  <c r="G24" i="70"/>
  <c r="G27" i="70"/>
  <c r="G28" i="70"/>
  <c r="G29" i="70"/>
  <c r="G30" i="70"/>
  <c r="G31" i="70"/>
  <c r="G34" i="70"/>
  <c r="G35" i="70"/>
  <c r="G36" i="70"/>
  <c r="G37" i="70"/>
  <c r="G38" i="70"/>
  <c r="G11" i="70"/>
  <c r="G12" i="70"/>
  <c r="G18" i="70"/>
  <c r="G19" i="70"/>
  <c r="G25" i="70"/>
  <c r="G26" i="70"/>
  <c r="G32" i="70"/>
  <c r="G33" i="70"/>
  <c r="E39" i="70"/>
  <c r="A1" i="69"/>
  <c r="C2" i="69"/>
  <c r="B5" i="69"/>
  <c r="C5" i="69"/>
  <c r="G8" i="69"/>
  <c r="G9" i="69"/>
  <c r="G10" i="69"/>
  <c r="G11" i="69"/>
  <c r="G12" i="69"/>
  <c r="G13" i="69"/>
  <c r="G16" i="69"/>
  <c r="G17" i="69"/>
  <c r="G18" i="69"/>
  <c r="G19" i="69"/>
  <c r="G20" i="69"/>
  <c r="G25" i="69"/>
  <c r="G26" i="69"/>
  <c r="G27" i="69"/>
  <c r="G31" i="69"/>
  <c r="G32" i="69"/>
  <c r="G33" i="69"/>
  <c r="G34" i="69"/>
  <c r="G37" i="69"/>
  <c r="G38" i="69"/>
  <c r="G14" i="69"/>
  <c r="G15" i="69"/>
  <c r="G21" i="69"/>
  <c r="G22" i="69"/>
  <c r="G23" i="69"/>
  <c r="G24" i="69"/>
  <c r="G28" i="69"/>
  <c r="G29" i="69"/>
  <c r="G30" i="69"/>
  <c r="G35" i="69"/>
  <c r="G36" i="69"/>
  <c r="E39" i="69"/>
  <c r="A1" i="68"/>
  <c r="C2" i="68"/>
  <c r="B5" i="68"/>
  <c r="C5" i="68"/>
  <c r="G8" i="68"/>
  <c r="G9" i="68"/>
  <c r="G10" i="68"/>
  <c r="G39" i="68"/>
  <c r="G11" i="68"/>
  <c r="G12" i="68"/>
  <c r="G13" i="68"/>
  <c r="G14" i="68"/>
  <c r="G15" i="68"/>
  <c r="G16" i="68"/>
  <c r="G17" i="68"/>
  <c r="G18" i="68"/>
  <c r="G19" i="68"/>
  <c r="G20" i="68"/>
  <c r="G21" i="68"/>
  <c r="G22" i="68"/>
  <c r="G23" i="68"/>
  <c r="G24" i="68"/>
  <c r="G25" i="68"/>
  <c r="G26" i="68"/>
  <c r="G27" i="68"/>
  <c r="G28" i="68"/>
  <c r="G29" i="68"/>
  <c r="G30" i="68"/>
  <c r="G31" i="68"/>
  <c r="G32" i="68"/>
  <c r="G33" i="68"/>
  <c r="G34" i="68"/>
  <c r="G35" i="68"/>
  <c r="G36" i="68"/>
  <c r="G37" i="68"/>
  <c r="G38" i="68"/>
  <c r="H38" i="68"/>
  <c r="I38" i="68"/>
  <c r="E39" i="68"/>
  <c r="C5" i="67"/>
  <c r="B5" i="67"/>
  <c r="C5" i="65"/>
  <c r="B5" i="65"/>
  <c r="A1" i="67"/>
  <c r="C2" i="67" s="1"/>
  <c r="A8" i="67" s="1"/>
  <c r="B8" i="67" s="1"/>
  <c r="A1" i="65"/>
  <c r="C2" i="65"/>
  <c r="G8" i="67"/>
  <c r="G9" i="67"/>
  <c r="G10" i="67"/>
  <c r="H10" i="67"/>
  <c r="I10" i="67"/>
  <c r="G11" i="67"/>
  <c r="H11" i="67"/>
  <c r="I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E39" i="67"/>
  <c r="G9" i="65"/>
  <c r="G10" i="65"/>
  <c r="G11" i="65"/>
  <c r="G12" i="65"/>
  <c r="G13" i="65"/>
  <c r="G14" i="65"/>
  <c r="G15" i="65"/>
  <c r="G16" i="65"/>
  <c r="G17" i="65"/>
  <c r="G18" i="65"/>
  <c r="G19" i="65"/>
  <c r="G20" i="65"/>
  <c r="G21" i="65"/>
  <c r="G22" i="65"/>
  <c r="G23" i="65"/>
  <c r="G24" i="65"/>
  <c r="G25" i="65"/>
  <c r="G26" i="65"/>
  <c r="G27" i="65"/>
  <c r="G28" i="65"/>
  <c r="G29" i="65"/>
  <c r="G30" i="65"/>
  <c r="G31" i="65"/>
  <c r="G32" i="65"/>
  <c r="G33" i="65"/>
  <c r="G34" i="65"/>
  <c r="G35" i="65"/>
  <c r="H36" i="65"/>
  <c r="I36" i="65"/>
  <c r="G8" i="65"/>
  <c r="G36" i="65"/>
  <c r="G37" i="65"/>
  <c r="G38" i="65"/>
  <c r="E39" i="65"/>
  <c r="G39" i="78"/>
  <c r="H10" i="73"/>
  <c r="I10" i="73"/>
  <c r="H10" i="75"/>
  <c r="I10" i="75"/>
  <c r="H28" i="77"/>
  <c r="I28" i="77"/>
  <c r="H29" i="71"/>
  <c r="H17" i="70"/>
  <c r="H22" i="70"/>
  <c r="H28" i="71"/>
  <c r="C3" i="70"/>
  <c r="G6" i="70"/>
  <c r="I28" i="71"/>
  <c r="I22" i="70"/>
  <c r="I17" i="70"/>
  <c r="I29" i="71"/>
  <c r="H36" i="76"/>
  <c r="I36" i="76"/>
  <c r="H35" i="74"/>
  <c r="H18" i="75"/>
  <c r="H14" i="77"/>
  <c r="H21" i="77"/>
  <c r="H27" i="77"/>
  <c r="H8" i="70"/>
  <c r="H35" i="77"/>
  <c r="H9" i="67"/>
  <c r="H9" i="70"/>
  <c r="H28" i="76"/>
  <c r="H16" i="73"/>
  <c r="H19" i="74"/>
  <c r="H20" i="74"/>
  <c r="A8" i="70"/>
  <c r="B8" i="70" s="1"/>
  <c r="I20" i="74"/>
  <c r="I19" i="74"/>
  <c r="I16" i="73"/>
  <c r="I28" i="76"/>
  <c r="I9" i="70"/>
  <c r="I9" i="67"/>
  <c r="I35" i="77"/>
  <c r="I8" i="70"/>
  <c r="I27" i="77"/>
  <c r="I21" i="77"/>
  <c r="I14" i="77"/>
  <c r="I18" i="75"/>
  <c r="I35" i="74"/>
  <c r="H20" i="77"/>
  <c r="H27" i="76"/>
  <c r="H17" i="75"/>
  <c r="H25" i="69"/>
  <c r="H23" i="67"/>
  <c r="H30" i="69"/>
  <c r="H20" i="76"/>
  <c r="H24" i="72"/>
  <c r="H22" i="73"/>
  <c r="H19" i="71"/>
  <c r="H35" i="73"/>
  <c r="H13" i="76"/>
  <c r="H38" i="72"/>
  <c r="H35" i="68"/>
  <c r="H10" i="72"/>
  <c r="H27" i="71"/>
  <c r="H32" i="65"/>
  <c r="H30" i="67"/>
  <c r="H13" i="68"/>
  <c r="H11" i="69"/>
  <c r="H31" i="75"/>
  <c r="H20" i="68"/>
  <c r="H14" i="68"/>
  <c r="H16" i="70"/>
  <c r="H18" i="72"/>
  <c r="H34" i="68"/>
  <c r="H31" i="72"/>
  <c r="H31" i="69"/>
  <c r="H29" i="73"/>
  <c r="H33" i="69"/>
  <c r="H32" i="69"/>
  <c r="H23" i="70"/>
  <c r="H15" i="73"/>
  <c r="H29" i="69"/>
  <c r="H21" i="76"/>
  <c r="H38" i="75"/>
  <c r="H25" i="72"/>
  <c r="H36" i="70"/>
  <c r="H18" i="69"/>
  <c r="H37" i="70"/>
  <c r="H12" i="71"/>
  <c r="H13" i="77"/>
  <c r="H13" i="74"/>
  <c r="H12" i="69"/>
  <c r="H26" i="74"/>
  <c r="H27" i="74"/>
  <c r="H35" i="76"/>
  <c r="H23" i="75"/>
  <c r="H18" i="65"/>
  <c r="H13" i="71"/>
  <c r="H11" i="72"/>
  <c r="H14" i="76"/>
  <c r="H30" i="75"/>
  <c r="H14" i="73"/>
  <c r="H27" i="68"/>
  <c r="H28" i="73"/>
  <c r="H30" i="70"/>
  <c r="H37" i="67"/>
  <c r="H17" i="72"/>
  <c r="H34" i="71"/>
  <c r="H34" i="76"/>
  <c r="H32" i="72"/>
  <c r="H34" i="74"/>
  <c r="H12" i="74"/>
  <c r="H8" i="73"/>
  <c r="H34" i="77"/>
  <c r="H16" i="75"/>
  <c r="H33" i="74"/>
  <c r="H28" i="68"/>
  <c r="H21" i="73"/>
  <c r="H19" i="69"/>
  <c r="H20" i="71"/>
  <c r="H24" i="75"/>
  <c r="H11" i="65"/>
  <c r="H37" i="75"/>
  <c r="H36" i="73"/>
  <c r="H15" i="70"/>
  <c r="H29" i="70"/>
  <c r="H21" i="68"/>
  <c r="H25" i="65"/>
  <c r="H26" i="71"/>
  <c r="H26" i="69"/>
  <c r="H33" i="71"/>
  <c r="I33" i="71"/>
  <c r="I26" i="69"/>
  <c r="I26" i="71"/>
  <c r="I25" i="65"/>
  <c r="I21" i="68"/>
  <c r="I29" i="70"/>
  <c r="I15" i="70"/>
  <c r="I36" i="73"/>
  <c r="I37" i="75"/>
  <c r="I11" i="65"/>
  <c r="I24" i="75"/>
  <c r="I20" i="71"/>
  <c r="I19" i="69"/>
  <c r="I21" i="73"/>
  <c r="I28" i="68"/>
  <c r="I33" i="74"/>
  <c r="I16" i="75"/>
  <c r="I34" i="77"/>
  <c r="I8" i="73"/>
  <c r="I12" i="74"/>
  <c r="I34" i="74"/>
  <c r="I32" i="72"/>
  <c r="I34" i="76"/>
  <c r="I34" i="71"/>
  <c r="I17" i="72"/>
  <c r="I37" i="67"/>
  <c r="I30" i="70"/>
  <c r="I28" i="73"/>
  <c r="I27" i="68"/>
  <c r="I14" i="73"/>
  <c r="I30" i="75"/>
  <c r="I14" i="76"/>
  <c r="I11" i="72"/>
  <c r="I13" i="71"/>
  <c r="I18" i="65"/>
  <c r="I23" i="75"/>
  <c r="I35" i="76"/>
  <c r="I27" i="74"/>
  <c r="I26" i="74"/>
  <c r="I12" i="69"/>
  <c r="I13" i="74"/>
  <c r="I13" i="77"/>
  <c r="I12" i="71"/>
  <c r="I37" i="70"/>
  <c r="I18" i="69"/>
  <c r="I36" i="70"/>
  <c r="I25" i="72"/>
  <c r="I38" i="75"/>
  <c r="I21" i="76"/>
  <c r="I29" i="69"/>
  <c r="I15" i="73"/>
  <c r="I23" i="70"/>
  <c r="I32" i="69"/>
  <c r="I33" i="69"/>
  <c r="I29" i="73"/>
  <c r="I31" i="69"/>
  <c r="I31" i="72"/>
  <c r="I34" i="68"/>
  <c r="I18" i="72"/>
  <c r="I16" i="70"/>
  <c r="I14" i="68"/>
  <c r="I20" i="68"/>
  <c r="I31" i="75"/>
  <c r="I11" i="69"/>
  <c r="I13" i="68"/>
  <c r="I30" i="67"/>
  <c r="I32" i="65"/>
  <c r="I27" i="71"/>
  <c r="I10" i="72"/>
  <c r="I35" i="68"/>
  <c r="I38" i="72"/>
  <c r="I13" i="76"/>
  <c r="I35" i="73"/>
  <c r="I19" i="71"/>
  <c r="I22" i="73"/>
  <c r="I24" i="72"/>
  <c r="I20" i="76"/>
  <c r="I30" i="69"/>
  <c r="I23" i="67"/>
  <c r="I25" i="69"/>
  <c r="I17" i="75"/>
  <c r="I27" i="76"/>
  <c r="I20" i="77"/>
  <c r="H38" i="65"/>
  <c r="I38" i="65"/>
  <c r="H32" i="74"/>
  <c r="I32" i="74"/>
  <c r="H30" i="76"/>
  <c r="I30" i="76"/>
  <c r="G39" i="76"/>
  <c r="H37" i="77"/>
  <c r="I37" i="77"/>
  <c r="H32" i="77"/>
  <c r="H31" i="77"/>
  <c r="H24" i="77"/>
  <c r="H16" i="77"/>
  <c r="H11" i="77"/>
  <c r="H32" i="75"/>
  <c r="H16" i="74"/>
  <c r="H30" i="68"/>
  <c r="H17" i="65"/>
  <c r="H9" i="74"/>
  <c r="H18" i="74"/>
  <c r="H22" i="67"/>
  <c r="H17" i="68"/>
  <c r="H34" i="72"/>
  <c r="H9" i="71"/>
  <c r="H35" i="69"/>
  <c r="H37" i="71"/>
  <c r="H24" i="68"/>
  <c r="H14" i="72"/>
  <c r="H21" i="75"/>
  <c r="H19" i="73"/>
  <c r="H15" i="75"/>
  <c r="H32" i="71"/>
  <c r="H23" i="71"/>
  <c r="H8" i="74"/>
  <c r="H20" i="75"/>
  <c r="H20" i="69"/>
  <c r="H30" i="71"/>
  <c r="H11" i="73"/>
  <c r="H21" i="71"/>
  <c r="H31" i="76"/>
  <c r="H13" i="69"/>
  <c r="H32" i="68"/>
  <c r="H8" i="72"/>
  <c r="H28" i="69"/>
  <c r="H27" i="69"/>
  <c r="H13" i="75"/>
  <c r="H15" i="76"/>
  <c r="H19" i="75"/>
  <c r="H25" i="74"/>
  <c r="H25" i="70"/>
  <c r="H15" i="71"/>
  <c r="H17" i="71"/>
  <c r="H8" i="76"/>
  <c r="H24" i="65"/>
  <c r="H21" i="69"/>
  <c r="H33" i="76"/>
  <c r="H33" i="70"/>
  <c r="H38" i="77"/>
  <c r="H30" i="77"/>
  <c r="H25" i="77"/>
  <c r="H17" i="77"/>
  <c r="H10" i="77"/>
  <c r="H12" i="77"/>
  <c r="H33" i="72"/>
  <c r="H17" i="74"/>
  <c r="H35" i="71"/>
  <c r="H36" i="67"/>
  <c r="H31" i="70"/>
  <c r="H26" i="73"/>
  <c r="H10" i="68"/>
  <c r="H33" i="68"/>
  <c r="H27" i="72"/>
  <c r="H21" i="74"/>
  <c r="H20" i="72"/>
  <c r="H10" i="71"/>
  <c r="H11" i="71"/>
  <c r="H25" i="75"/>
  <c r="H38" i="69"/>
  <c r="H20" i="70"/>
  <c r="H10" i="69"/>
  <c r="H14" i="71"/>
  <c r="H22" i="71"/>
  <c r="H9" i="68"/>
  <c r="H34" i="69"/>
  <c r="H17" i="73"/>
  <c r="H14" i="70"/>
  <c r="H15" i="74"/>
  <c r="H37" i="65"/>
  <c r="H23" i="72"/>
  <c r="H24" i="74"/>
  <c r="H29" i="76"/>
  <c r="H10" i="76"/>
  <c r="H22" i="72"/>
  <c r="H22" i="69"/>
  <c r="H28" i="74"/>
  <c r="H35" i="75"/>
  <c r="H12" i="72"/>
  <c r="H8" i="67"/>
  <c r="H15" i="68"/>
  <c r="H28" i="72"/>
  <c r="H18" i="71"/>
  <c r="H23" i="76"/>
  <c r="H35" i="70"/>
  <c r="H18" i="70"/>
  <c r="H12" i="73"/>
  <c r="H30" i="72"/>
  <c r="H8" i="68"/>
  <c r="H39" i="68" s="1"/>
  <c r="H12" i="68"/>
  <c r="H32" i="76"/>
  <c r="H28" i="75"/>
  <c r="H24" i="73"/>
  <c r="H25" i="71"/>
  <c r="H36" i="75"/>
  <c r="H23" i="74"/>
  <c r="H29" i="77"/>
  <c r="H22" i="77"/>
  <c r="H18" i="77"/>
  <c r="H19" i="77"/>
  <c r="H8" i="77"/>
  <c r="H16" i="72"/>
  <c r="H25" i="68"/>
  <c r="H31" i="73"/>
  <c r="H21" i="70"/>
  <c r="H27" i="70"/>
  <c r="H33" i="75"/>
  <c r="H11" i="75"/>
  <c r="H9" i="73"/>
  <c r="H22" i="75"/>
  <c r="H19" i="70"/>
  <c r="H34" i="70"/>
  <c r="H21" i="72"/>
  <c r="H26" i="75"/>
  <c r="H8" i="69"/>
  <c r="H23" i="68"/>
  <c r="H29" i="68"/>
  <c r="H29" i="67"/>
  <c r="H26" i="70"/>
  <c r="H11" i="70"/>
  <c r="H9" i="72"/>
  <c r="H36" i="71"/>
  <c r="H24" i="70"/>
  <c r="H27" i="75"/>
  <c r="H22" i="68"/>
  <c r="H32" i="73"/>
  <c r="H16" i="67"/>
  <c r="H25" i="73"/>
  <c r="H14" i="74"/>
  <c r="H15" i="72"/>
  <c r="H26" i="72"/>
  <c r="H16" i="76"/>
  <c r="H35" i="72"/>
  <c r="H10" i="70"/>
  <c r="H32" i="70"/>
  <c r="H19" i="68"/>
  <c r="H12" i="70"/>
  <c r="H27" i="73"/>
  <c r="H22" i="76"/>
  <c r="H8" i="71"/>
  <c r="H26" i="68"/>
  <c r="H18" i="73"/>
  <c r="H23" i="73"/>
  <c r="H23" i="69"/>
  <c r="H10" i="65"/>
  <c r="H12" i="76"/>
  <c r="H19" i="72"/>
  <c r="H29" i="72"/>
  <c r="H15" i="67"/>
  <c r="H11" i="76"/>
  <c r="H19" i="76"/>
  <c r="H36" i="77"/>
  <c r="H33" i="77"/>
  <c r="H26" i="77"/>
  <c r="H23" i="77"/>
  <c r="H15" i="77"/>
  <c r="H9" i="77"/>
  <c r="H11" i="74"/>
  <c r="H29" i="75"/>
  <c r="H33" i="73"/>
  <c r="H20" i="73"/>
  <c r="H31" i="71"/>
  <c r="H37" i="68"/>
  <c r="H13" i="70"/>
  <c r="H24" i="69"/>
  <c r="H17" i="69"/>
  <c r="H13" i="72"/>
  <c r="H37" i="69"/>
  <c r="H36" i="72"/>
  <c r="H24" i="71"/>
  <c r="H36" i="69"/>
  <c r="H16" i="68"/>
  <c r="H18" i="68"/>
  <c r="H31" i="65"/>
  <c r="H29" i="74"/>
  <c r="H9" i="69"/>
  <c r="H11" i="68"/>
  <c r="H37" i="72"/>
  <c r="H16" i="71"/>
  <c r="H14" i="75"/>
  <c r="H34" i="75"/>
  <c r="H24" i="76"/>
  <c r="H38" i="70"/>
  <c r="H30" i="74"/>
  <c r="H31" i="68"/>
  <c r="H31" i="74"/>
  <c r="H36" i="68"/>
  <c r="H34" i="73"/>
  <c r="H14" i="69"/>
  <c r="H9" i="76"/>
  <c r="H28" i="70"/>
  <c r="H22" i="74"/>
  <c r="H13" i="73"/>
  <c r="H15" i="69"/>
  <c r="H39" i="69" s="1"/>
  <c r="H26" i="76"/>
  <c r="H37" i="73"/>
  <c r="H16" i="69"/>
  <c r="H17" i="76"/>
  <c r="H39" i="76" s="1"/>
  <c r="H12" i="75"/>
  <c r="H25" i="76"/>
  <c r="H10" i="74"/>
  <c r="I10" i="74"/>
  <c r="I25" i="76"/>
  <c r="I12" i="75"/>
  <c r="I17" i="76"/>
  <c r="I16" i="69"/>
  <c r="I37" i="73"/>
  <c r="I26" i="76"/>
  <c r="I15" i="69"/>
  <c r="I13" i="73"/>
  <c r="I22" i="74"/>
  <c r="I28" i="70"/>
  <c r="I9" i="76"/>
  <c r="I14" i="69"/>
  <c r="I34" i="73"/>
  <c r="I36" i="68"/>
  <c r="I31" i="74"/>
  <c r="I31" i="68"/>
  <c r="I30" i="74"/>
  <c r="I38" i="70"/>
  <c r="I24" i="76"/>
  <c r="I34" i="75"/>
  <c r="I14" i="75"/>
  <c r="I16" i="71"/>
  <c r="I37" i="72"/>
  <c r="I11" i="68"/>
  <c r="I9" i="69"/>
  <c r="I29" i="74"/>
  <c r="I31" i="65"/>
  <c r="I18" i="68"/>
  <c r="I16" i="68"/>
  <c r="I36" i="69"/>
  <c r="I24" i="71"/>
  <c r="I36" i="72"/>
  <c r="I37" i="69"/>
  <c r="I13" i="72"/>
  <c r="I17" i="69"/>
  <c r="I24" i="69"/>
  <c r="I13" i="70"/>
  <c r="I37" i="68"/>
  <c r="I31" i="71"/>
  <c r="I20" i="73"/>
  <c r="I33" i="73"/>
  <c r="I29" i="75"/>
  <c r="I11" i="74"/>
  <c r="I9" i="77"/>
  <c r="I15" i="77"/>
  <c r="I23" i="77"/>
  <c r="I26" i="77"/>
  <c r="I33" i="77"/>
  <c r="I36" i="77"/>
  <c r="I19" i="76"/>
  <c r="I11" i="76"/>
  <c r="I15" i="67"/>
  <c r="I29" i="72"/>
  <c r="I19" i="72"/>
  <c r="I12" i="76"/>
  <c r="I10" i="65"/>
  <c r="I23" i="69"/>
  <c r="I23" i="73"/>
  <c r="I18" i="73"/>
  <c r="I26" i="68"/>
  <c r="I8" i="71"/>
  <c r="I22" i="76"/>
  <c r="I27" i="73"/>
  <c r="I12" i="70"/>
  <c r="I19" i="68"/>
  <c r="I32" i="70"/>
  <c r="I10" i="70"/>
  <c r="I35" i="72"/>
  <c r="I16" i="76"/>
  <c r="I26" i="72"/>
  <c r="I15" i="72"/>
  <c r="I14" i="74"/>
  <c r="I25" i="73"/>
  <c r="I16" i="67"/>
  <c r="I32" i="73"/>
  <c r="I22" i="68"/>
  <c r="I27" i="75"/>
  <c r="I24" i="70"/>
  <c r="I36" i="71"/>
  <c r="I9" i="72"/>
  <c r="I11" i="70"/>
  <c r="I26" i="70"/>
  <c r="I29" i="67"/>
  <c r="I29" i="68"/>
  <c r="I23" i="68"/>
  <c r="I8" i="69"/>
  <c r="I26" i="75"/>
  <c r="I21" i="72"/>
  <c r="I34" i="70"/>
  <c r="I19" i="70"/>
  <c r="I22" i="75"/>
  <c r="I9" i="73"/>
  <c r="I11" i="75"/>
  <c r="I33" i="75"/>
  <c r="I27" i="70"/>
  <c r="I21" i="70"/>
  <c r="I31" i="73"/>
  <c r="I25" i="68"/>
  <c r="I16" i="72"/>
  <c r="I8" i="77"/>
  <c r="I19" i="77"/>
  <c r="I18" i="77"/>
  <c r="I22" i="77"/>
  <c r="I29" i="77"/>
  <c r="I23" i="74"/>
  <c r="I36" i="75"/>
  <c r="I25" i="71"/>
  <c r="I24" i="73"/>
  <c r="I28" i="75"/>
  <c r="I32" i="76"/>
  <c r="I12" i="68"/>
  <c r="I8" i="68"/>
  <c r="I30" i="72"/>
  <c r="I12" i="73"/>
  <c r="I18" i="70"/>
  <c r="I35" i="70"/>
  <c r="I23" i="76"/>
  <c r="I18" i="71"/>
  <c r="I28" i="72"/>
  <c r="I15" i="68"/>
  <c r="I8" i="67"/>
  <c r="I12" i="72"/>
  <c r="I35" i="75"/>
  <c r="I28" i="74"/>
  <c r="I22" i="69"/>
  <c r="I22" i="72"/>
  <c r="I10" i="76"/>
  <c r="I29" i="76"/>
  <c r="I24" i="74"/>
  <c r="I23" i="72"/>
  <c r="I37" i="65"/>
  <c r="I15" i="74"/>
  <c r="I14" i="70"/>
  <c r="I17" i="73"/>
  <c r="I34" i="69"/>
  <c r="I9" i="68"/>
  <c r="I22" i="71"/>
  <c r="I14" i="71"/>
  <c r="I10" i="69"/>
  <c r="I20" i="70"/>
  <c r="I38" i="69"/>
  <c r="I25" i="75"/>
  <c r="I11" i="71"/>
  <c r="I10" i="71"/>
  <c r="I20" i="72"/>
  <c r="I21" i="74"/>
  <c r="I27" i="72"/>
  <c r="I33" i="68"/>
  <c r="I10" i="68"/>
  <c r="I26" i="73"/>
  <c r="I31" i="70"/>
  <c r="I36" i="67"/>
  <c r="I35" i="71"/>
  <c r="I17" i="74"/>
  <c r="I33" i="72"/>
  <c r="I12" i="77"/>
  <c r="I10" i="77"/>
  <c r="I17" i="77"/>
  <c r="I25" i="77"/>
  <c r="I30" i="77"/>
  <c r="I38" i="77"/>
  <c r="I33" i="70"/>
  <c r="I33" i="76"/>
  <c r="I21" i="69"/>
  <c r="I24" i="65"/>
  <c r="I8" i="76"/>
  <c r="I17" i="71"/>
  <c r="I15" i="71"/>
  <c r="I25" i="70"/>
  <c r="I25" i="74"/>
  <c r="I19" i="75"/>
  <c r="I15" i="76"/>
  <c r="I13" i="75"/>
  <c r="I27" i="69"/>
  <c r="I28" i="69"/>
  <c r="I8" i="72"/>
  <c r="I32" i="68"/>
  <c r="I13" i="69"/>
  <c r="I31" i="76"/>
  <c r="I21" i="71"/>
  <c r="I11" i="73"/>
  <c r="I30" i="71"/>
  <c r="I20" i="69"/>
  <c r="I20" i="75"/>
  <c r="I8" i="74"/>
  <c r="I23" i="71"/>
  <c r="I32" i="71"/>
  <c r="I15" i="75"/>
  <c r="I19" i="73"/>
  <c r="I21" i="75"/>
  <c r="I14" i="72"/>
  <c r="I24" i="68"/>
  <c r="I37" i="71"/>
  <c r="I35" i="69"/>
  <c r="I9" i="71"/>
  <c r="I34" i="72"/>
  <c r="I17" i="68"/>
  <c r="I22" i="67"/>
  <c r="I18" i="74"/>
  <c r="I9" i="74"/>
  <c r="I17" i="65"/>
  <c r="I30" i="68"/>
  <c r="I16" i="74"/>
  <c r="I32" i="75"/>
  <c r="I11" i="77"/>
  <c r="I16" i="77"/>
  <c r="I24" i="77"/>
  <c r="I31" i="77"/>
  <c r="I32" i="77"/>
  <c r="C3" i="76"/>
  <c r="G6" i="76"/>
  <c r="A8" i="76"/>
  <c r="A9" i="76" s="1"/>
  <c r="B9" i="76" s="1"/>
  <c r="B8" i="76"/>
  <c r="A8" i="69"/>
  <c r="C3" i="69"/>
  <c r="G6" i="69"/>
  <c r="A8" i="72"/>
  <c r="B8" i="72" s="1"/>
  <c r="C3" i="72"/>
  <c r="G6" i="72" s="1"/>
  <c r="G39" i="65"/>
  <c r="H39" i="75"/>
  <c r="I39" i="73"/>
  <c r="I39" i="74"/>
  <c r="I39" i="76"/>
  <c r="H39" i="74"/>
  <c r="I39" i="72"/>
  <c r="I39" i="68"/>
  <c r="I39" i="77"/>
  <c r="I39" i="75"/>
  <c r="H39" i="73"/>
  <c r="I39" i="71"/>
  <c r="C3" i="68"/>
  <c r="G6" i="68"/>
  <c r="A9" i="68"/>
  <c r="A8" i="68"/>
  <c r="B8" i="68"/>
  <c r="G39" i="70"/>
  <c r="H39" i="77"/>
  <c r="H39" i="72"/>
  <c r="A8" i="71"/>
  <c r="B8" i="71" s="1"/>
  <c r="G39" i="73"/>
  <c r="I39" i="70"/>
  <c r="H39" i="70"/>
  <c r="G39" i="71"/>
  <c r="G39" i="75"/>
  <c r="I39" i="69"/>
  <c r="H39" i="71"/>
  <c r="C3" i="65"/>
  <c r="G6" i="65" s="1"/>
  <c r="G39" i="69"/>
  <c r="A9" i="70"/>
  <c r="A10" i="76"/>
  <c r="A11" i="76" s="1"/>
  <c r="G39" i="77"/>
  <c r="C3" i="77"/>
  <c r="G6" i="77"/>
  <c r="A8" i="77"/>
  <c r="B8" i="77" s="1"/>
  <c r="B10" i="76"/>
  <c r="A9" i="77"/>
  <c r="H12" i="67"/>
  <c r="H32" i="67"/>
  <c r="H38" i="67"/>
  <c r="H33" i="67"/>
  <c r="H24" i="67"/>
  <c r="H18" i="67"/>
  <c r="H14" i="67"/>
  <c r="H20" i="78"/>
  <c r="H8" i="65"/>
  <c r="H29" i="65"/>
  <c r="H19" i="78"/>
  <c r="H32" i="78"/>
  <c r="H26" i="65"/>
  <c r="H37" i="78"/>
  <c r="H19" i="65"/>
  <c r="H13" i="65"/>
  <c r="H12" i="65"/>
  <c r="H38" i="78"/>
  <c r="H34" i="67"/>
  <c r="H31" i="67"/>
  <c r="H28" i="67"/>
  <c r="H19" i="67"/>
  <c r="H13" i="67"/>
  <c r="H34" i="78"/>
  <c r="H23" i="65"/>
  <c r="H33" i="65"/>
  <c r="H9" i="78"/>
  <c r="H15" i="65"/>
  <c r="H31" i="78"/>
  <c r="H30" i="78"/>
  <c r="H27" i="65"/>
  <c r="H20" i="65"/>
  <c r="H20" i="67"/>
  <c r="H34" i="65"/>
  <c r="H35" i="65"/>
  <c r="H10" i="78"/>
  <c r="H35" i="67"/>
  <c r="H26" i="67"/>
  <c r="H27" i="67"/>
  <c r="H17" i="67"/>
  <c r="H30" i="65"/>
  <c r="H25" i="78"/>
  <c r="H28" i="65"/>
  <c r="H27" i="78"/>
  <c r="H16" i="65"/>
  <c r="H21" i="65"/>
  <c r="H26" i="78"/>
  <c r="H14" i="65"/>
  <c r="H33" i="78"/>
  <c r="H23" i="78"/>
  <c r="H25" i="67"/>
  <c r="H21" i="67"/>
  <c r="H17" i="78"/>
  <c r="H24" i="78"/>
  <c r="H9" i="65"/>
  <c r="H22" i="65"/>
  <c r="H18" i="78"/>
  <c r="I18" i="78" l="1"/>
  <c r="I22" i="65"/>
  <c r="I9" i="65"/>
  <c r="I24" i="78"/>
  <c r="I17" i="78"/>
  <c r="I21" i="67"/>
  <c r="I25" i="67"/>
  <c r="I23" i="78"/>
  <c r="I33" i="78"/>
  <c r="I14" i="65"/>
  <c r="I26" i="78"/>
  <c r="I21" i="65"/>
  <c r="I16" i="65"/>
  <c r="I27" i="78"/>
  <c r="I28" i="65"/>
  <c r="I25" i="78"/>
  <c r="I30" i="65"/>
  <c r="I17" i="67"/>
  <c r="I27" i="67"/>
  <c r="I26" i="67"/>
  <c r="I35" i="67"/>
  <c r="I10" i="78"/>
  <c r="I35" i="65"/>
  <c r="I34" i="65"/>
  <c r="I20" i="67"/>
  <c r="I20" i="65"/>
  <c r="I27" i="65"/>
  <c r="I30" i="78"/>
  <c r="I31" i="78"/>
  <c r="I15" i="65"/>
  <c r="H39" i="78"/>
  <c r="I9" i="78"/>
  <c r="I33" i="65"/>
  <c r="I23" i="65"/>
  <c r="I34" i="78"/>
  <c r="I13" i="67"/>
  <c r="I19" i="67"/>
  <c r="I28" i="67"/>
  <c r="I31" i="67"/>
  <c r="I34" i="67"/>
  <c r="I38" i="78"/>
  <c r="I12" i="65"/>
  <c r="I13" i="65"/>
  <c r="I19" i="65"/>
  <c r="I37" i="78"/>
  <c r="I26" i="65"/>
  <c r="I32" i="78"/>
  <c r="I19" i="78"/>
  <c r="I29" i="65"/>
  <c r="H39" i="65"/>
  <c r="I8" i="65"/>
  <c r="I20" i="78"/>
  <c r="I14" i="67"/>
  <c r="I18" i="67"/>
  <c r="I24" i="67"/>
  <c r="I33" i="67"/>
  <c r="I38" i="67"/>
  <c r="I32" i="67"/>
  <c r="H39" i="67"/>
  <c r="I12" i="67"/>
  <c r="G39" i="67"/>
  <c r="C3" i="78"/>
  <c r="G6" i="78" s="1"/>
  <c r="A8" i="78"/>
  <c r="B8" i="78" s="1"/>
  <c r="A10" i="77"/>
  <c r="B9" i="77"/>
  <c r="C3" i="67"/>
  <c r="G6" i="67" s="1"/>
  <c r="A9" i="67"/>
  <c r="B9" i="67" s="1"/>
  <c r="C3" i="71"/>
  <c r="G6" i="71" s="1"/>
  <c r="A9" i="71"/>
  <c r="B9" i="71" s="1"/>
  <c r="A8" i="74"/>
  <c r="B8" i="74" s="1"/>
  <c r="A9" i="74"/>
  <c r="B9" i="74" s="1"/>
  <c r="A10" i="74"/>
  <c r="B10" i="74" s="1"/>
  <c r="C3" i="74"/>
  <c r="G6" i="74" s="1"/>
  <c r="A8" i="75"/>
  <c r="B8" i="75" s="1"/>
  <c r="A10" i="75"/>
  <c r="B10" i="75" s="1"/>
  <c r="A9" i="75"/>
  <c r="B9" i="75" s="1"/>
  <c r="C3" i="75"/>
  <c r="G6" i="75" s="1"/>
  <c r="B11" i="76"/>
  <c r="A12" i="76"/>
  <c r="A10" i="70"/>
  <c r="B9" i="70"/>
  <c r="A9" i="72"/>
  <c r="C3" i="73"/>
  <c r="G6" i="73" s="1"/>
  <c r="A8" i="73"/>
  <c r="B8" i="73" s="1"/>
  <c r="B9" i="68"/>
  <c r="A10" i="68"/>
  <c r="B8" i="69"/>
  <c r="A9" i="69"/>
  <c r="A8" i="65"/>
  <c r="I39" i="78" l="1"/>
  <c r="I39" i="65"/>
  <c r="I39" i="67"/>
  <c r="B9" i="72"/>
  <c r="A10" i="72"/>
  <c r="A10" i="67"/>
  <c r="B10" i="77"/>
  <c r="A11" i="77"/>
  <c r="B8" i="65"/>
  <c r="A9" i="65"/>
  <c r="A9" i="73"/>
  <c r="B9" i="69"/>
  <c r="A10" i="69"/>
  <c r="B10" i="70"/>
  <c r="A11" i="70"/>
  <c r="A13" i="76"/>
  <c r="B12" i="76"/>
  <c r="B10" i="68"/>
  <c r="A11" i="68"/>
  <c r="A11" i="75"/>
  <c r="A11" i="74"/>
  <c r="A10" i="71"/>
  <c r="A9" i="78"/>
  <c r="B11" i="74" l="1"/>
  <c r="A12" i="74"/>
  <c r="B10" i="69"/>
  <c r="A11" i="69"/>
  <c r="B10" i="72"/>
  <c r="A11" i="72"/>
  <c r="B11" i="75"/>
  <c r="A12" i="75"/>
  <c r="A14" i="76"/>
  <c r="B13" i="76"/>
  <c r="B11" i="77"/>
  <c r="A12" i="77"/>
  <c r="B9" i="78"/>
  <c r="A10" i="78"/>
  <c r="B11" i="68"/>
  <c r="A12" i="68"/>
  <c r="A12" i="70"/>
  <c r="B11" i="70"/>
  <c r="B9" i="73"/>
  <c r="A10" i="73"/>
  <c r="B10" i="71"/>
  <c r="A11" i="71"/>
  <c r="A10" i="65"/>
  <c r="B9" i="65"/>
  <c r="B10" i="67"/>
  <c r="A11" i="67"/>
  <c r="B12" i="68" l="1"/>
  <c r="A13" i="68"/>
  <c r="A12" i="69"/>
  <c r="B11" i="69"/>
  <c r="B10" i="73"/>
  <c r="A11" i="73"/>
  <c r="B12" i="77"/>
  <c r="A13" i="77"/>
  <c r="B12" i="75"/>
  <c r="A13" i="75"/>
  <c r="B10" i="65"/>
  <c r="A11" i="65"/>
  <c r="B11" i="67"/>
  <c r="A12" i="67"/>
  <c r="B11" i="71"/>
  <c r="A12" i="71"/>
  <c r="B10" i="78"/>
  <c r="A11" i="78"/>
  <c r="B11" i="72"/>
  <c r="A12" i="72"/>
  <c r="B12" i="74"/>
  <c r="A13" i="74"/>
  <c r="A13" i="70"/>
  <c r="B12" i="70"/>
  <c r="B14" i="76"/>
  <c r="A15" i="76"/>
  <c r="B12" i="72" l="1"/>
  <c r="A13" i="72"/>
  <c r="B11" i="65"/>
  <c r="A12" i="65"/>
  <c r="B13" i="70"/>
  <c r="A14" i="70"/>
  <c r="B12" i="67"/>
  <c r="A13" i="67"/>
  <c r="B12" i="71"/>
  <c r="A13" i="71"/>
  <c r="B13" i="77"/>
  <c r="A14" i="77"/>
  <c r="B12" i="69"/>
  <c r="A13" i="69"/>
  <c r="B15" i="76"/>
  <c r="A16" i="76"/>
  <c r="B13" i="74"/>
  <c r="A14" i="74"/>
  <c r="B11" i="78"/>
  <c r="A12" i="78"/>
  <c r="B13" i="75"/>
  <c r="A14" i="75"/>
  <c r="B11" i="73"/>
  <c r="A12" i="73"/>
  <c r="B13" i="68"/>
  <c r="A14" i="68"/>
  <c r="B12" i="78" l="1"/>
  <c r="A13" i="78"/>
  <c r="A15" i="77"/>
  <c r="B14" i="77"/>
  <c r="B12" i="65"/>
  <c r="A13" i="65"/>
  <c r="B14" i="74"/>
  <c r="A15" i="74"/>
  <c r="B12" i="73"/>
  <c r="A13" i="73"/>
  <c r="A17" i="76"/>
  <c r="B16" i="76"/>
  <c r="B13" i="67"/>
  <c r="A14" i="67"/>
  <c r="B14" i="68"/>
  <c r="A15" i="68"/>
  <c r="B14" i="75"/>
  <c r="A15" i="75"/>
  <c r="B13" i="69"/>
  <c r="A14" i="69"/>
  <c r="B13" i="71"/>
  <c r="A14" i="71"/>
  <c r="B14" i="70"/>
  <c r="A15" i="70"/>
  <c r="B13" i="72"/>
  <c r="A14" i="72"/>
  <c r="A16" i="70" l="1"/>
  <c r="B15" i="70"/>
  <c r="B15" i="68"/>
  <c r="A16" i="68"/>
  <c r="B14" i="69"/>
  <c r="A15" i="69"/>
  <c r="B15" i="74"/>
  <c r="A16" i="74"/>
  <c r="B17" i="76"/>
  <c r="A18" i="76"/>
  <c r="B15" i="77"/>
  <c r="A16" i="77"/>
  <c r="B14" i="72"/>
  <c r="A15" i="72"/>
  <c r="B14" i="71"/>
  <c r="A15" i="71"/>
  <c r="B15" i="75"/>
  <c r="A16" i="75"/>
  <c r="B14" i="67"/>
  <c r="A15" i="67"/>
  <c r="A14" i="73"/>
  <c r="B13" i="73"/>
  <c r="A14" i="65"/>
  <c r="B13" i="65"/>
  <c r="B13" i="78"/>
  <c r="A14" i="78"/>
  <c r="B15" i="67" l="1"/>
  <c r="A16" i="67"/>
  <c r="B16" i="68"/>
  <c r="A17" i="68"/>
  <c r="B15" i="71"/>
  <c r="A16" i="71"/>
  <c r="B16" i="77"/>
  <c r="A17" i="77"/>
  <c r="B16" i="74"/>
  <c r="A17" i="74"/>
  <c r="B14" i="65"/>
  <c r="A15" i="65"/>
  <c r="B14" i="78"/>
  <c r="A15" i="78"/>
  <c r="B16" i="75"/>
  <c r="A17" i="75"/>
  <c r="B15" i="72"/>
  <c r="A16" i="72"/>
  <c r="B18" i="76"/>
  <c r="A19" i="76"/>
  <c r="A16" i="69"/>
  <c r="B15" i="69"/>
  <c r="B14" i="73"/>
  <c r="A15" i="73"/>
  <c r="A17" i="70"/>
  <c r="B16" i="70"/>
  <c r="B19" i="76" l="1"/>
  <c r="A20" i="76"/>
  <c r="B17" i="77"/>
  <c r="A18" i="77"/>
  <c r="A16" i="73"/>
  <c r="B15" i="73"/>
  <c r="B17" i="75"/>
  <c r="A18" i="75"/>
  <c r="B15" i="65"/>
  <c r="A16" i="65"/>
  <c r="B17" i="68"/>
  <c r="A18" i="68"/>
  <c r="B16" i="72"/>
  <c r="A17" i="72"/>
  <c r="B15" i="78"/>
  <c r="A16" i="78"/>
  <c r="B17" i="74"/>
  <c r="A18" i="74"/>
  <c r="B16" i="71"/>
  <c r="A17" i="71"/>
  <c r="B16" i="67"/>
  <c r="A17" i="67"/>
  <c r="A18" i="70"/>
  <c r="B17" i="70"/>
  <c r="B16" i="69"/>
  <c r="A17" i="69"/>
  <c r="B18" i="75" l="1"/>
  <c r="A19" i="75"/>
  <c r="B17" i="71"/>
  <c r="A18" i="71"/>
  <c r="B16" i="78"/>
  <c r="A17" i="78"/>
  <c r="A19" i="68"/>
  <c r="B18" i="68"/>
  <c r="B18" i="77"/>
  <c r="A19" i="77"/>
  <c r="B18" i="70"/>
  <c r="A19" i="70"/>
  <c r="B17" i="69"/>
  <c r="A18" i="69"/>
  <c r="B17" i="67"/>
  <c r="A18" i="67"/>
  <c r="B18" i="74"/>
  <c r="A19" i="74"/>
  <c r="B17" i="72"/>
  <c r="A18" i="72"/>
  <c r="B16" i="65"/>
  <c r="A17" i="65"/>
  <c r="B20" i="76"/>
  <c r="A21" i="76"/>
  <c r="A17" i="73"/>
  <c r="B16" i="73"/>
  <c r="B18" i="72" l="1"/>
  <c r="A19" i="72"/>
  <c r="B21" i="76"/>
  <c r="A22" i="76"/>
  <c r="B18" i="67"/>
  <c r="A19" i="67"/>
  <c r="A20" i="70"/>
  <c r="B19" i="70"/>
  <c r="B18" i="71"/>
  <c r="A19" i="71"/>
  <c r="B19" i="68"/>
  <c r="A20" i="68"/>
  <c r="B17" i="65"/>
  <c r="A18" i="65"/>
  <c r="B19" i="74"/>
  <c r="A20" i="74"/>
  <c r="B18" i="69"/>
  <c r="A19" i="69"/>
  <c r="B19" i="77"/>
  <c r="A20" i="77"/>
  <c r="B17" i="78"/>
  <c r="A18" i="78"/>
  <c r="B19" i="75"/>
  <c r="A20" i="75"/>
  <c r="B17" i="73"/>
  <c r="A18" i="73"/>
  <c r="B20" i="75" l="1"/>
  <c r="A21" i="75"/>
  <c r="B20" i="74"/>
  <c r="A21" i="74"/>
  <c r="B20" i="77"/>
  <c r="A21" i="77"/>
  <c r="B20" i="68"/>
  <c r="A21" i="68"/>
  <c r="B22" i="76"/>
  <c r="A23" i="76"/>
  <c r="B20" i="70"/>
  <c r="A21" i="70"/>
  <c r="B18" i="73"/>
  <c r="A19" i="73"/>
  <c r="B18" i="78"/>
  <c r="A19" i="78"/>
  <c r="A20" i="69"/>
  <c r="B19" i="69"/>
  <c r="A19" i="65"/>
  <c r="B18" i="65"/>
  <c r="B19" i="71"/>
  <c r="A20" i="71"/>
  <c r="B19" i="67"/>
  <c r="A20" i="67"/>
  <c r="B19" i="72"/>
  <c r="A20" i="72"/>
  <c r="A22" i="70" l="1"/>
  <c r="B21" i="70"/>
  <c r="B20" i="67"/>
  <c r="A21" i="67"/>
  <c r="B19" i="78"/>
  <c r="A20" i="78"/>
  <c r="B21" i="68"/>
  <c r="A22" i="68"/>
  <c r="B21" i="74"/>
  <c r="A22" i="74"/>
  <c r="A20" i="65"/>
  <c r="B19" i="65"/>
  <c r="B20" i="72"/>
  <c r="A21" i="72"/>
  <c r="B20" i="71"/>
  <c r="A21" i="71"/>
  <c r="B19" i="73"/>
  <c r="A20" i="73"/>
  <c r="A24" i="76"/>
  <c r="B23" i="76"/>
  <c r="B21" i="77"/>
  <c r="A22" i="77"/>
  <c r="B21" i="75"/>
  <c r="A22" i="75"/>
  <c r="B20" i="69"/>
  <c r="A21" i="69"/>
  <c r="B22" i="75" l="1"/>
  <c r="A23" i="75"/>
  <c r="B21" i="71"/>
  <c r="A22" i="71"/>
  <c r="B22" i="68"/>
  <c r="A23" i="68"/>
  <c r="A22" i="67"/>
  <c r="B21" i="67"/>
  <c r="B24" i="76"/>
  <c r="A25" i="76"/>
  <c r="A21" i="65"/>
  <c r="B20" i="65"/>
  <c r="A22" i="69"/>
  <c r="B21" i="69"/>
  <c r="B22" i="77"/>
  <c r="A23" i="77"/>
  <c r="B20" i="73"/>
  <c r="A21" i="73"/>
  <c r="B21" i="72"/>
  <c r="A22" i="72"/>
  <c r="B22" i="74"/>
  <c r="A23" i="74"/>
  <c r="B20" i="78"/>
  <c r="A21" i="78"/>
  <c r="B22" i="70"/>
  <c r="A23" i="70"/>
  <c r="B21" i="78" l="1"/>
  <c r="A22" i="78"/>
  <c r="B23" i="77"/>
  <c r="A24" i="77"/>
  <c r="A22" i="65"/>
  <c r="B21" i="65"/>
  <c r="A24" i="70"/>
  <c r="B23" i="70"/>
  <c r="B23" i="75"/>
  <c r="A24" i="75"/>
  <c r="A23" i="72"/>
  <c r="B22" i="72"/>
  <c r="B22" i="71"/>
  <c r="A23" i="71"/>
  <c r="B22" i="67"/>
  <c r="A23" i="67"/>
  <c r="B23" i="74"/>
  <c r="A24" i="74"/>
  <c r="A22" i="73"/>
  <c r="B21" i="73"/>
  <c r="B25" i="76"/>
  <c r="A26" i="76"/>
  <c r="B23" i="68"/>
  <c r="A24" i="68"/>
  <c r="B22" i="69"/>
  <c r="A23" i="69"/>
  <c r="B24" i="68" l="1"/>
  <c r="A25" i="68"/>
  <c r="B23" i="67"/>
  <c r="A24" i="67"/>
  <c r="B24" i="77"/>
  <c r="A25" i="77"/>
  <c r="B22" i="73"/>
  <c r="A23" i="73"/>
  <c r="A24" i="72"/>
  <c r="B23" i="72"/>
  <c r="A25" i="70"/>
  <c r="B24" i="70"/>
  <c r="B23" i="69"/>
  <c r="A24" i="69"/>
  <c r="A27" i="76"/>
  <c r="B26" i="76"/>
  <c r="B24" i="74"/>
  <c r="A25" i="74"/>
  <c r="B23" i="71"/>
  <c r="A24" i="71"/>
  <c r="A25" i="75"/>
  <c r="B24" i="75"/>
  <c r="B22" i="78"/>
  <c r="A23" i="78"/>
  <c r="A23" i="65"/>
  <c r="B22" i="65"/>
  <c r="B23" i="78" l="1"/>
  <c r="A24" i="78"/>
  <c r="B24" i="71"/>
  <c r="A25" i="71"/>
  <c r="B24" i="67"/>
  <c r="A25" i="67"/>
  <c r="A28" i="76"/>
  <c r="B27" i="76"/>
  <c r="B25" i="77"/>
  <c r="A26" i="77"/>
  <c r="B23" i="73"/>
  <c r="A24" i="73"/>
  <c r="B25" i="70"/>
  <c r="A26" i="70"/>
  <c r="B25" i="74"/>
  <c r="A26" i="74"/>
  <c r="A25" i="69"/>
  <c r="B24" i="69"/>
  <c r="A26" i="68"/>
  <c r="B25" i="68"/>
  <c r="A24" i="65"/>
  <c r="B23" i="65"/>
  <c r="A26" i="75"/>
  <c r="B25" i="75"/>
  <c r="B24" i="72"/>
  <c r="A25" i="72"/>
  <c r="B24" i="65" l="1"/>
  <c r="A25" i="65"/>
  <c r="B26" i="74"/>
  <c r="A27" i="74"/>
  <c r="B24" i="73"/>
  <c r="A25" i="73"/>
  <c r="B25" i="71"/>
  <c r="A26" i="71"/>
  <c r="B26" i="75"/>
  <c r="A27" i="75"/>
  <c r="B26" i="68"/>
  <c r="A27" i="68"/>
  <c r="B28" i="76"/>
  <c r="A29" i="76"/>
  <c r="B25" i="72"/>
  <c r="A26" i="72"/>
  <c r="A27" i="70"/>
  <c r="B26" i="70"/>
  <c r="B26" i="77"/>
  <c r="A27" i="77"/>
  <c r="B25" i="67"/>
  <c r="A26" i="67"/>
  <c r="B24" i="78"/>
  <c r="A25" i="78"/>
  <c r="B25" i="69"/>
  <c r="A26" i="69"/>
  <c r="B25" i="78" l="1"/>
  <c r="A26" i="78"/>
  <c r="B27" i="77"/>
  <c r="A28" i="77"/>
  <c r="A27" i="72"/>
  <c r="B26" i="72"/>
  <c r="B27" i="68"/>
  <c r="A28" i="68"/>
  <c r="B26" i="71"/>
  <c r="A27" i="71"/>
  <c r="B27" i="74"/>
  <c r="A28" i="74"/>
  <c r="A27" i="69"/>
  <c r="B26" i="69"/>
  <c r="B26" i="67"/>
  <c r="A27" i="67"/>
  <c r="A30" i="76"/>
  <c r="B29" i="76"/>
  <c r="B27" i="75"/>
  <c r="A28" i="75"/>
  <c r="B25" i="73"/>
  <c r="A26" i="73"/>
  <c r="A26" i="65"/>
  <c r="B25" i="65"/>
  <c r="B27" i="70"/>
  <c r="A28" i="70"/>
  <c r="B28" i="70" l="1"/>
  <c r="A29" i="70"/>
  <c r="A27" i="73"/>
  <c r="B26" i="73"/>
  <c r="B27" i="71"/>
  <c r="A28" i="71"/>
  <c r="B26" i="78"/>
  <c r="A27" i="78"/>
  <c r="B30" i="76"/>
  <c r="A31" i="76"/>
  <c r="B27" i="69"/>
  <c r="A28" i="69"/>
  <c r="B27" i="72"/>
  <c r="A28" i="72"/>
  <c r="B28" i="75"/>
  <c r="A29" i="75"/>
  <c r="B27" i="67"/>
  <c r="A28" i="67"/>
  <c r="B28" i="74"/>
  <c r="A29" i="74"/>
  <c r="B28" i="68"/>
  <c r="A29" i="68"/>
  <c r="A29" i="77"/>
  <c r="B28" i="77"/>
  <c r="B26" i="65"/>
  <c r="A27" i="65"/>
  <c r="B29" i="74" l="1"/>
  <c r="A30" i="74"/>
  <c r="B29" i="75"/>
  <c r="A30" i="75"/>
  <c r="A29" i="69"/>
  <c r="B28" i="69"/>
  <c r="B27" i="78"/>
  <c r="A28" i="78"/>
  <c r="B29" i="77"/>
  <c r="A30" i="77"/>
  <c r="A28" i="73"/>
  <c r="B27" i="73"/>
  <c r="B27" i="65"/>
  <c r="A28" i="65"/>
  <c r="B29" i="68"/>
  <c r="A30" i="68"/>
  <c r="B28" i="67"/>
  <c r="A29" i="67"/>
  <c r="A29" i="72"/>
  <c r="B28" i="72"/>
  <c r="A32" i="76"/>
  <c r="B31" i="76"/>
  <c r="B28" i="71"/>
  <c r="A29" i="71"/>
  <c r="B29" i="70"/>
  <c r="A30" i="70"/>
  <c r="B29" i="71" l="1"/>
  <c r="A30" i="71"/>
  <c r="A31" i="68"/>
  <c r="B30" i="68"/>
  <c r="B28" i="78"/>
  <c r="A29" i="78"/>
  <c r="B30" i="75"/>
  <c r="A31" i="75"/>
  <c r="B29" i="72"/>
  <c r="A30" i="72"/>
  <c r="A29" i="73"/>
  <c r="B28" i="73"/>
  <c r="B30" i="70"/>
  <c r="A31" i="70"/>
  <c r="B29" i="67"/>
  <c r="A30" i="67"/>
  <c r="B28" i="65"/>
  <c r="A29" i="65"/>
  <c r="A31" i="77"/>
  <c r="B30" i="77"/>
  <c r="B30" i="74"/>
  <c r="A31" i="74"/>
  <c r="B32" i="76"/>
  <c r="A33" i="76"/>
  <c r="B29" i="69"/>
  <c r="A30" i="69"/>
  <c r="A34" i="76" l="1"/>
  <c r="B33" i="76"/>
  <c r="B30" i="67"/>
  <c r="A31" i="67"/>
  <c r="B31" i="75"/>
  <c r="A32" i="75"/>
  <c r="A30" i="73"/>
  <c r="B29" i="73"/>
  <c r="B31" i="68"/>
  <c r="A32" i="68"/>
  <c r="B30" i="69"/>
  <c r="A31" i="69"/>
  <c r="A32" i="77"/>
  <c r="B31" i="77"/>
  <c r="B31" i="74"/>
  <c r="A32" i="74"/>
  <c r="A30" i="65"/>
  <c r="B29" i="65"/>
  <c r="A32" i="70"/>
  <c r="B31" i="70"/>
  <c r="B30" i="72"/>
  <c r="A31" i="72"/>
  <c r="B29" i="78"/>
  <c r="A30" i="78"/>
  <c r="B30" i="71"/>
  <c r="A31" i="71"/>
  <c r="A32" i="69" l="1"/>
  <c r="B31" i="69"/>
  <c r="B32" i="68"/>
  <c r="A33" i="68"/>
  <c r="B30" i="78"/>
  <c r="A31" i="78"/>
  <c r="B32" i="74"/>
  <c r="A33" i="74"/>
  <c r="B31" i="67"/>
  <c r="A32" i="67"/>
  <c r="B32" i="70"/>
  <c r="A33" i="70"/>
  <c r="B30" i="73"/>
  <c r="A31" i="73"/>
  <c r="B31" i="71"/>
  <c r="A32" i="71"/>
  <c r="A32" i="72"/>
  <c r="B31" i="72"/>
  <c r="B32" i="75"/>
  <c r="A33" i="75"/>
  <c r="B30" i="65"/>
  <c r="A31" i="65"/>
  <c r="B32" i="77"/>
  <c r="A33" i="77"/>
  <c r="A35" i="76"/>
  <c r="B34" i="76"/>
  <c r="A34" i="77" l="1"/>
  <c r="B33" i="77"/>
  <c r="B32" i="71"/>
  <c r="A33" i="71"/>
  <c r="B33" i="74"/>
  <c r="A34" i="74"/>
  <c r="B33" i="75"/>
  <c r="A34" i="75"/>
  <c r="B33" i="70"/>
  <c r="A34" i="70"/>
  <c r="A34" i="68"/>
  <c r="B33" i="68"/>
  <c r="A32" i="65"/>
  <c r="B31" i="65"/>
  <c r="A32" i="73"/>
  <c r="B31" i="73"/>
  <c r="B32" i="67"/>
  <c r="A33" i="67"/>
  <c r="B31" i="78"/>
  <c r="A32" i="78"/>
  <c r="A36" i="76"/>
  <c r="B35" i="76"/>
  <c r="A33" i="72"/>
  <c r="B32" i="72"/>
  <c r="B32" i="69"/>
  <c r="A33" i="69"/>
  <c r="B34" i="75" l="1"/>
  <c r="A35" i="75"/>
  <c r="B33" i="72"/>
  <c r="A34" i="72"/>
  <c r="A33" i="73"/>
  <c r="B32" i="73"/>
  <c r="B32" i="78"/>
  <c r="A33" i="78"/>
  <c r="B33" i="71"/>
  <c r="A34" i="71"/>
  <c r="A35" i="68"/>
  <c r="B34" i="68"/>
  <c r="B33" i="69"/>
  <c r="A34" i="69"/>
  <c r="B33" i="67"/>
  <c r="A34" i="67"/>
  <c r="B34" i="70"/>
  <c r="A35" i="70"/>
  <c r="B34" i="74"/>
  <c r="A35" i="74"/>
  <c r="B36" i="76"/>
  <c r="A37" i="76"/>
  <c r="B32" i="65"/>
  <c r="A33" i="65"/>
  <c r="A35" i="77"/>
  <c r="B34" i="77"/>
  <c r="B35" i="74" l="1"/>
  <c r="A36" i="74"/>
  <c r="B33" i="78"/>
  <c r="A34" i="78"/>
  <c r="B37" i="76"/>
  <c r="A38" i="76"/>
  <c r="B38" i="76" s="1"/>
  <c r="A34" i="65"/>
  <c r="B33" i="65"/>
  <c r="B34" i="67"/>
  <c r="A35" i="67"/>
  <c r="B34" i="72"/>
  <c r="A35" i="72"/>
  <c r="A36" i="68"/>
  <c r="B35" i="68"/>
  <c r="B35" i="70"/>
  <c r="A36" i="70"/>
  <c r="B34" i="69"/>
  <c r="A35" i="69"/>
  <c r="B34" i="71"/>
  <c r="A35" i="71"/>
  <c r="B35" i="75"/>
  <c r="A36" i="75"/>
  <c r="B35" i="77"/>
  <c r="A36" i="77"/>
  <c r="B33" i="73"/>
  <c r="A34" i="73"/>
  <c r="B35" i="71" l="1"/>
  <c r="A36" i="71"/>
  <c r="B35" i="72"/>
  <c r="A36" i="72"/>
  <c r="B34" i="65"/>
  <c r="A35" i="65"/>
  <c r="B35" i="67"/>
  <c r="A36" i="67"/>
  <c r="A37" i="77"/>
  <c r="B36" i="77"/>
  <c r="B36" i="70"/>
  <c r="A37" i="70"/>
  <c r="B34" i="78"/>
  <c r="A35" i="78"/>
  <c r="A35" i="73"/>
  <c r="B34" i="73"/>
  <c r="B36" i="75"/>
  <c r="A37" i="75"/>
  <c r="B35" i="69"/>
  <c r="A36" i="69"/>
  <c r="B36" i="74"/>
  <c r="A37" i="74"/>
  <c r="B36" i="68"/>
  <c r="A37" i="68"/>
  <c r="A38" i="68" l="1"/>
  <c r="B38" i="68" s="1"/>
  <c r="B37" i="68"/>
  <c r="A38" i="70"/>
  <c r="B38" i="70" s="1"/>
  <c r="B37" i="70"/>
  <c r="A37" i="72"/>
  <c r="B36" i="72"/>
  <c r="A36" i="73"/>
  <c r="B35" i="73"/>
  <c r="A37" i="69"/>
  <c r="B36" i="69"/>
  <c r="B36" i="67"/>
  <c r="A37" i="67"/>
  <c r="B37" i="74"/>
  <c r="A38" i="74"/>
  <c r="B38" i="74" s="1"/>
  <c r="B37" i="75"/>
  <c r="A38" i="75"/>
  <c r="B38" i="75" s="1"/>
  <c r="B35" i="78"/>
  <c r="A36" i="78"/>
  <c r="B35" i="65"/>
  <c r="A36" i="65"/>
  <c r="B36" i="71"/>
  <c r="A37" i="71"/>
  <c r="A38" i="77"/>
  <c r="B38" i="77" s="1"/>
  <c r="B37" i="77"/>
  <c r="B36" i="65" l="1"/>
  <c r="A37" i="65"/>
  <c r="B37" i="67"/>
  <c r="A38" i="67"/>
  <c r="B38" i="67" s="1"/>
  <c r="B36" i="73"/>
  <c r="A37" i="73"/>
  <c r="B37" i="71"/>
  <c r="A38" i="71"/>
  <c r="B38" i="71" s="1"/>
  <c r="B36" i="78"/>
  <c r="A37" i="78"/>
  <c r="B37" i="69"/>
  <c r="A38" i="69"/>
  <c r="B38" i="69" s="1"/>
  <c r="B37" i="72"/>
  <c r="A38" i="72"/>
  <c r="B38" i="72" s="1"/>
  <c r="A38" i="73" l="1"/>
  <c r="B38" i="73" s="1"/>
  <c r="B37" i="73"/>
  <c r="B37" i="78"/>
  <c r="A38" i="78"/>
  <c r="B38" i="78" s="1"/>
  <c r="A38" i="65"/>
  <c r="B38" i="65" s="1"/>
  <c r="B37"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author>
    <author>Ｔ.Hayashi</author>
  </authors>
  <commentList>
    <comment ref="C2" authorId="0" shapeId="0" xr:uid="{00000000-0006-0000-0100-000001000000}">
      <text>
        <r>
          <rPr>
            <b/>
            <sz val="9"/>
            <color indexed="81"/>
            <rFont val="ＭＳ Ｐゴシック"/>
            <family val="3"/>
            <charset val="128"/>
          </rPr>
          <t>これらは全て定数シートからの
自動反映</t>
        </r>
      </text>
    </comment>
    <comment ref="G6" authorId="0" shapeId="0" xr:uid="{00000000-0006-0000-0100-000002000000}">
      <text>
        <r>
          <rPr>
            <b/>
            <sz val="9"/>
            <color indexed="81"/>
            <rFont val="ＭＳ Ｐゴシック"/>
            <family val="3"/>
            <charset val="128"/>
          </rPr>
          <t>デフォルトは月末日だが提出した日付を入力すること。</t>
        </r>
      </text>
    </comment>
    <comment ref="B8" authorId="0" shapeId="0" xr:uid="{00000000-0006-0000-0100-000003000000}">
      <text>
        <r>
          <rPr>
            <b/>
            <sz val="9"/>
            <color indexed="81"/>
            <rFont val="ＭＳ Ｐゴシック"/>
            <family val="3"/>
            <charset val="128"/>
          </rPr>
          <t>赤字は土日祝日
（一般的な祝日には対応）</t>
        </r>
      </text>
    </comment>
    <comment ref="G8" authorId="0" shapeId="0" xr:uid="{00000000-0006-0000-0100-000004000000}">
      <text>
        <r>
          <rPr>
            <b/>
            <sz val="9"/>
            <color indexed="81"/>
            <rFont val="ＭＳ Ｐゴシック"/>
            <family val="3"/>
            <charset val="128"/>
          </rPr>
          <t>黄色部分は自動計算</t>
        </r>
      </text>
    </comment>
    <comment ref="F9" authorId="0" shapeId="0" xr:uid="{00000000-0006-0000-0100-000005000000}">
      <text>
        <r>
          <rPr>
            <b/>
            <sz val="9"/>
            <color indexed="81"/>
            <rFont val="ＭＳ Ｐゴシック"/>
            <family val="3"/>
            <charset val="128"/>
          </rPr>
          <t>単位時間は30分ごと</t>
        </r>
      </text>
    </comment>
    <comment ref="D10" authorId="1" shapeId="0" xr:uid="{00000000-0006-0000-0100-000006000000}">
      <text>
        <r>
          <rPr>
            <b/>
            <sz val="9"/>
            <color indexed="12"/>
            <rFont val="ＭＳ Ｐゴシック"/>
            <family val="3"/>
            <charset val="128"/>
          </rPr>
          <t>振替出勤管理表に記載</t>
        </r>
      </text>
    </comment>
    <comment ref="D12" authorId="0" shapeId="0" xr:uid="{00000000-0006-0000-0100-000007000000}">
      <text>
        <r>
          <rPr>
            <b/>
            <sz val="9"/>
            <color indexed="81"/>
            <rFont val="ＭＳ Ｐゴシック"/>
            <family val="3"/>
            <charset val="128"/>
          </rPr>
          <t>祝日がリストにあるが特に設定は不要</t>
        </r>
      </text>
    </comment>
    <comment ref="D13" authorId="1" shapeId="0" xr:uid="{00000000-0006-0000-0100-000008000000}">
      <text>
        <r>
          <rPr>
            <b/>
            <sz val="9"/>
            <color indexed="12"/>
            <rFont val="ＭＳ Ｐゴシック"/>
            <family val="3"/>
            <charset val="128"/>
          </rPr>
          <t>振替出勤管理表に記載</t>
        </r>
      </text>
    </comment>
    <comment ref="C16" authorId="1" shapeId="0" xr:uid="{00000000-0006-0000-0100-000009000000}">
      <text>
        <r>
          <rPr>
            <b/>
            <sz val="9"/>
            <color indexed="81"/>
            <rFont val="ＭＳ Ｐゴシック"/>
            <family val="3"/>
            <charset val="128"/>
          </rPr>
          <t xml:space="preserve">休暇は、事前申請
</t>
        </r>
        <r>
          <rPr>
            <b/>
            <sz val="9"/>
            <color indexed="12"/>
            <rFont val="ＭＳ Ｐゴシック"/>
            <family val="3"/>
            <charset val="128"/>
          </rPr>
          <t>届出に記載</t>
        </r>
      </text>
    </comment>
    <comment ref="D17" authorId="0" shapeId="0" xr:uid="{00000000-0006-0000-0100-00000A000000}">
      <text>
        <r>
          <rPr>
            <b/>
            <sz val="9"/>
            <color indexed="81"/>
            <rFont val="ＭＳ Ｐゴシック"/>
            <family val="3"/>
            <charset val="128"/>
          </rPr>
          <t xml:space="preserve">ドロップダウンリスト以外の入力も可能
</t>
        </r>
      </text>
    </comment>
    <comment ref="D25" authorId="1" shapeId="0" xr:uid="{00000000-0006-0000-0100-00000B000000}">
      <text>
        <r>
          <rPr>
            <b/>
            <sz val="9"/>
            <color indexed="12"/>
            <rFont val="ＭＳ Ｐゴシック"/>
            <family val="3"/>
            <charset val="128"/>
          </rPr>
          <t>出張時等、交通費や旅費が発生する場合に記入</t>
        </r>
      </text>
    </comment>
  </commentList>
</comments>
</file>

<file path=xl/sharedStrings.xml><?xml version="1.0" encoding="utf-8"?>
<sst xmlns="http://schemas.openxmlformats.org/spreadsheetml/2006/main" count="559" uniqueCount="179">
  <si>
    <t>勤怠報告書</t>
    <rPh sb="0" eb="2">
      <t>キンタイ</t>
    </rPh>
    <rPh sb="2" eb="4">
      <t>ホウコク</t>
    </rPh>
    <rPh sb="4" eb="5">
      <t>ショ</t>
    </rPh>
    <phoneticPr fontId="3"/>
  </si>
  <si>
    <t>開始時間</t>
    <rPh sb="0" eb="2">
      <t>カイシ</t>
    </rPh>
    <rPh sb="2" eb="4">
      <t>ジカン</t>
    </rPh>
    <phoneticPr fontId="3"/>
  </si>
  <si>
    <t>終了時間</t>
    <rPh sb="0" eb="2">
      <t>シュウリョウ</t>
    </rPh>
    <rPh sb="2" eb="4">
      <t>ジカン</t>
    </rPh>
    <phoneticPr fontId="3"/>
  </si>
  <si>
    <t>作業時間</t>
    <rPh sb="0" eb="2">
      <t>サギョウ</t>
    </rPh>
    <rPh sb="2" eb="4">
      <t>ジカン</t>
    </rPh>
    <phoneticPr fontId="3"/>
  </si>
  <si>
    <t>日　付</t>
    <rPh sb="0" eb="1">
      <t>ヒ</t>
    </rPh>
    <rPh sb="2" eb="3">
      <t>ヅケ</t>
    </rPh>
    <phoneticPr fontId="3"/>
  </si>
  <si>
    <t>作業項目</t>
    <rPh sb="0" eb="2">
      <t>サギョウ</t>
    </rPh>
    <rPh sb="2" eb="4">
      <t>コウモク</t>
    </rPh>
    <phoneticPr fontId="3"/>
  </si>
  <si>
    <t>合　計</t>
    <rPh sb="0" eb="1">
      <t>ゴウ</t>
    </rPh>
    <rPh sb="2" eb="3">
      <t>ケイ</t>
    </rPh>
    <phoneticPr fontId="3"/>
  </si>
  <si>
    <t>締日</t>
    <rPh sb="0" eb="1">
      <t>シ</t>
    </rPh>
    <rPh sb="1" eb="2">
      <t>ヒ</t>
    </rPh>
    <phoneticPr fontId="3"/>
  </si>
  <si>
    <t>開始</t>
    <rPh sb="0" eb="2">
      <t>カイシ</t>
    </rPh>
    <phoneticPr fontId="3"/>
  </si>
  <si>
    <t>社員番号</t>
    <rPh sb="0" eb="2">
      <t>シャイン</t>
    </rPh>
    <rPh sb="2" eb="4">
      <t>バンゴウ</t>
    </rPh>
    <phoneticPr fontId="3"/>
  </si>
  <si>
    <t>氏名</t>
    <rPh sb="0" eb="2">
      <t>シメイ</t>
    </rPh>
    <phoneticPr fontId="3"/>
  </si>
  <si>
    <t>担当</t>
    <rPh sb="0" eb="2">
      <t>タントウ</t>
    </rPh>
    <phoneticPr fontId="3"/>
  </si>
  <si>
    <t>確認</t>
    <rPh sb="0" eb="2">
      <t>カクニン</t>
    </rPh>
    <phoneticPr fontId="3"/>
  </si>
  <si>
    <t>備考</t>
    <rPh sb="0" eb="2">
      <t>ビコウ</t>
    </rPh>
    <phoneticPr fontId="3"/>
  </si>
  <si>
    <t>出張：</t>
    <rPh sb="0" eb="2">
      <t>シュッチョウ</t>
    </rPh>
    <phoneticPr fontId="3"/>
  </si>
  <si>
    <t>出張：東京</t>
    <rPh sb="0" eb="2">
      <t>シュッチョウ</t>
    </rPh>
    <rPh sb="3" eb="5">
      <t>トウキョウ</t>
    </rPh>
    <phoneticPr fontId="3"/>
  </si>
  <si>
    <t>祝日</t>
    <rPh sb="0" eb="2">
      <t>シュクジツ</t>
    </rPh>
    <phoneticPr fontId="3"/>
  </si>
  <si>
    <t>有給休暇</t>
    <rPh sb="0" eb="2">
      <t>ユウキュウ</t>
    </rPh>
    <rPh sb="2" eb="4">
      <t>キュウカ</t>
    </rPh>
    <phoneticPr fontId="3"/>
  </si>
  <si>
    <t>振替出勤</t>
    <rPh sb="0" eb="2">
      <t>フリカエ</t>
    </rPh>
    <rPh sb="2" eb="4">
      <t>シュッキン</t>
    </rPh>
    <phoneticPr fontId="3"/>
  </si>
  <si>
    <t>振替休日</t>
    <rPh sb="0" eb="2">
      <t>フリカエ</t>
    </rPh>
    <rPh sb="2" eb="4">
      <t>キュウジツ</t>
    </rPh>
    <phoneticPr fontId="3"/>
  </si>
  <si>
    <t>提出</t>
    <rPh sb="0" eb="2">
      <t>テイシュツ</t>
    </rPh>
    <phoneticPr fontId="3"/>
  </si>
  <si>
    <t>区分</t>
    <rPh sb="0" eb="2">
      <t>クブン</t>
    </rPh>
    <phoneticPr fontId="3"/>
  </si>
  <si>
    <t>終了</t>
    <rPh sb="0" eb="2">
      <t>シュウリョウ</t>
    </rPh>
    <phoneticPr fontId="3"/>
  </si>
  <si>
    <t>日数</t>
    <rPh sb="0" eb="2">
      <t>ニッスウ</t>
    </rPh>
    <phoneticPr fontId="3"/>
  </si>
  <si>
    <t>承認</t>
    <rPh sb="0" eb="2">
      <t>ショウニン</t>
    </rPh>
    <phoneticPr fontId="3"/>
  </si>
  <si>
    <t>備考（事由等）</t>
    <rPh sb="0" eb="2">
      <t>ビコウ</t>
    </rPh>
    <rPh sb="3" eb="6">
      <t>ジユウナド</t>
    </rPh>
    <phoneticPr fontId="3"/>
  </si>
  <si>
    <t>有給休暇</t>
    <rPh sb="0" eb="2">
      <t>ユウキュウ</t>
    </rPh>
    <phoneticPr fontId="3"/>
  </si>
  <si>
    <t>未</t>
    <rPh sb="0" eb="1">
      <t>ミ</t>
    </rPh>
    <phoneticPr fontId="3"/>
  </si>
  <si>
    <t>月</t>
    <rPh sb="0" eb="1">
      <t>ツキ</t>
    </rPh>
    <phoneticPr fontId="3"/>
  </si>
  <si>
    <t>日</t>
    <rPh sb="0" eb="1">
      <t>ヒ</t>
    </rPh>
    <phoneticPr fontId="3"/>
  </si>
  <si>
    <t>済</t>
    <rPh sb="0" eb="1">
      <t>スミ</t>
    </rPh>
    <phoneticPr fontId="3"/>
  </si>
  <si>
    <t>事後</t>
    <rPh sb="0" eb="2">
      <t>ジゴ</t>
    </rPh>
    <phoneticPr fontId="3"/>
  </si>
  <si>
    <t>住所変更</t>
    <rPh sb="0" eb="2">
      <t>ジュウショ</t>
    </rPh>
    <rPh sb="2" eb="4">
      <t>ヘンコウ</t>
    </rPh>
    <phoneticPr fontId="3"/>
  </si>
  <si>
    <t>結婚</t>
    <rPh sb="0" eb="2">
      <t>ケッコン</t>
    </rPh>
    <phoneticPr fontId="3"/>
  </si>
  <si>
    <t>出生</t>
    <rPh sb="0" eb="2">
      <t>シュッセイ</t>
    </rPh>
    <phoneticPr fontId="3"/>
  </si>
  <si>
    <t>その他</t>
    <rPh sb="2" eb="3">
      <t>タ</t>
    </rPh>
    <phoneticPr fontId="3"/>
  </si>
  <si>
    <t>予定</t>
    <rPh sb="0" eb="2">
      <t>ヨテイ</t>
    </rPh>
    <phoneticPr fontId="3"/>
  </si>
  <si>
    <t>月</t>
    <rPh sb="0" eb="1">
      <t>ゲツ</t>
    </rPh>
    <phoneticPr fontId="3"/>
  </si>
  <si>
    <t>曜日</t>
    <rPh sb="0" eb="2">
      <t>ヨウビ</t>
    </rPh>
    <phoneticPr fontId="3"/>
  </si>
  <si>
    <t>時間</t>
    <rPh sb="0" eb="2">
      <t>ジカン</t>
    </rPh>
    <phoneticPr fontId="3"/>
  </si>
  <si>
    <t>状況</t>
    <rPh sb="0" eb="2">
      <t>ジョウキョウ</t>
    </rPh>
    <phoneticPr fontId="3"/>
  </si>
  <si>
    <t>消化</t>
    <rPh sb="0" eb="2">
      <t>ショウカ</t>
    </rPh>
    <phoneticPr fontId="3"/>
  </si>
  <si>
    <t>火</t>
    <rPh sb="0" eb="1">
      <t>カ</t>
    </rPh>
    <phoneticPr fontId="3"/>
  </si>
  <si>
    <t>木</t>
    <rPh sb="0" eb="1">
      <t>モク</t>
    </rPh>
    <phoneticPr fontId="3"/>
  </si>
  <si>
    <t>不可</t>
    <rPh sb="0" eb="2">
      <t>フカ</t>
    </rPh>
    <phoneticPr fontId="3"/>
  </si>
  <si>
    <t>水</t>
    <rPh sb="0" eb="1">
      <t>スイ</t>
    </rPh>
    <phoneticPr fontId="3"/>
  </si>
  <si>
    <t>金</t>
  </si>
  <si>
    <t>土</t>
  </si>
  <si>
    <t>日</t>
  </si>
  <si>
    <t>生理休暇</t>
    <phoneticPr fontId="3"/>
  </si>
  <si>
    <t>慶弔休暇</t>
    <phoneticPr fontId="3"/>
  </si>
  <si>
    <t>特別休暇</t>
    <phoneticPr fontId="3"/>
  </si>
  <si>
    <t>欠勤</t>
    <phoneticPr fontId="3"/>
  </si>
  <si>
    <t>遅刻</t>
    <phoneticPr fontId="3"/>
  </si>
  <si>
    <t>早退</t>
    <phoneticPr fontId="3"/>
  </si>
  <si>
    <t>私用外出</t>
    <phoneticPr fontId="3"/>
  </si>
  <si>
    <t>出張</t>
    <phoneticPr fontId="3"/>
  </si>
  <si>
    <t>MicroMagic INC.</t>
    <phoneticPr fontId="3"/>
  </si>
  <si>
    <t>備考（事由等）</t>
    <phoneticPr fontId="3"/>
  </si>
  <si>
    <t>社員番号</t>
    <phoneticPr fontId="3"/>
  </si>
  <si>
    <t>氏名</t>
    <phoneticPr fontId="3"/>
  </si>
  <si>
    <t>株式会社マイクロマジック</t>
    <phoneticPr fontId="3"/>
  </si>
  <si>
    <t>　　</t>
    <phoneticPr fontId="3"/>
  </si>
  <si>
    <t>MicroMagic INC.</t>
    <phoneticPr fontId="3"/>
  </si>
  <si>
    <t>全時間</t>
    <rPh sb="0" eb="1">
      <t>ゼン</t>
    </rPh>
    <rPh sb="1" eb="3">
      <t>ジカン</t>
    </rPh>
    <phoneticPr fontId="3"/>
  </si>
  <si>
    <t>残業時間</t>
    <rPh sb="0" eb="2">
      <t>ザンギョウ</t>
    </rPh>
    <rPh sb="2" eb="4">
      <t>ジカン</t>
    </rPh>
    <phoneticPr fontId="3"/>
  </si>
  <si>
    <t>定数シート</t>
    <rPh sb="0" eb="2">
      <t>テイスウ</t>
    </rPh>
    <phoneticPr fontId="3"/>
  </si>
  <si>
    <t>名前</t>
    <rPh sb="0" eb="2">
      <t>ナマエ</t>
    </rPh>
    <phoneticPr fontId="3"/>
  </si>
  <si>
    <t>年度開始年月日</t>
    <rPh sb="0" eb="2">
      <t>ネンド</t>
    </rPh>
    <rPh sb="2" eb="4">
      <t>カイシ</t>
    </rPh>
    <rPh sb="4" eb="7">
      <t>ネンガッピ</t>
    </rPh>
    <phoneticPr fontId="3"/>
  </si>
  <si>
    <t>AM有給休暇</t>
    <rPh sb="2" eb="4">
      <t>ユウキュウ</t>
    </rPh>
    <rPh sb="4" eb="6">
      <t>キュウカ</t>
    </rPh>
    <phoneticPr fontId="3"/>
  </si>
  <si>
    <t>PM有給休暇</t>
    <rPh sb="2" eb="4">
      <t>ユウキュウ</t>
    </rPh>
    <rPh sb="4" eb="6">
      <t>キュウカ</t>
    </rPh>
    <phoneticPr fontId="3"/>
  </si>
  <si>
    <t>AM振替出勤</t>
    <rPh sb="2" eb="4">
      <t>フリカエ</t>
    </rPh>
    <rPh sb="4" eb="6">
      <t>シュッキン</t>
    </rPh>
    <phoneticPr fontId="3"/>
  </si>
  <si>
    <t>PM振替出勤</t>
    <rPh sb="2" eb="4">
      <t>フリカエ</t>
    </rPh>
    <rPh sb="4" eb="6">
      <t>シュッキン</t>
    </rPh>
    <phoneticPr fontId="3"/>
  </si>
  <si>
    <t>AM振替休日</t>
    <rPh sb="2" eb="4">
      <t>フリカエ</t>
    </rPh>
    <rPh sb="4" eb="6">
      <t>キュウジツ</t>
    </rPh>
    <phoneticPr fontId="3"/>
  </si>
  <si>
    <t>PM振替休日</t>
    <rPh sb="2" eb="4">
      <t>フリカエ</t>
    </rPh>
    <rPh sb="4" eb="6">
      <t>キュウジツ</t>
    </rPh>
    <phoneticPr fontId="3"/>
  </si>
  <si>
    <t>年度開始年月日は4月1日とする。</t>
    <rPh sb="0" eb="2">
      <t>ネンド</t>
    </rPh>
    <rPh sb="2" eb="7">
      <t>カイシネンガッピ</t>
    </rPh>
    <rPh sb="9" eb="10">
      <t>ガツ</t>
    </rPh>
    <rPh sb="11" eb="12">
      <t>ニチ</t>
    </rPh>
    <phoneticPr fontId="3"/>
  </si>
  <si>
    <t>■備考（変更不可）</t>
    <rPh sb="1" eb="3">
      <t>ビコウ</t>
    </rPh>
    <rPh sb="4" eb="6">
      <t>ヘンコウ</t>
    </rPh>
    <rPh sb="6" eb="8">
      <t>フカ</t>
    </rPh>
    <phoneticPr fontId="3"/>
  </si>
  <si>
    <t>○○プロジェクト　開発作業</t>
    <rPh sb="9" eb="11">
      <t>カイハツ</t>
    </rPh>
    <rPh sb="11" eb="13">
      <t>サギョウ</t>
    </rPh>
    <phoneticPr fontId="3"/>
  </si>
  <si>
    <t>客先都合のため16:00終了</t>
    <rPh sb="0" eb="2">
      <t>キャクサキ</t>
    </rPh>
    <rPh sb="2" eb="4">
      <t>ツゴウ</t>
    </rPh>
    <rPh sb="12" eb="14">
      <t>シュウリョウ</t>
    </rPh>
    <phoneticPr fontId="3"/>
  </si>
  <si>
    <t>有給休暇申請済</t>
    <rPh sb="0" eb="2">
      <t>ユウキュウ</t>
    </rPh>
    <rPh sb="2" eb="4">
      <t>キュウカ</t>
    </rPh>
    <rPh sb="4" eb="6">
      <t>シンセイ</t>
    </rPh>
    <rPh sb="6" eb="7">
      <t>ズ</t>
    </rPh>
    <phoneticPr fontId="3"/>
  </si>
  <si>
    <t>自社作業</t>
    <rPh sb="0" eb="2">
      <t>ジシャ</t>
    </rPh>
    <rPh sb="2" eb="4">
      <t>サギョウ</t>
    </rPh>
    <phoneticPr fontId="3"/>
  </si>
  <si>
    <t>○○プロジェクト　打ち合わせ</t>
    <rPh sb="9" eb="10">
      <t>ウ</t>
    </rPh>
    <rPh sb="11" eb="12">
      <t>ア</t>
    </rPh>
    <phoneticPr fontId="3"/>
  </si>
  <si>
    <t>特別休暇：</t>
    <phoneticPr fontId="3"/>
  </si>
  <si>
    <t>■休憩時間について</t>
    <rPh sb="1" eb="3">
      <t>キュウケイ</t>
    </rPh>
    <rPh sb="3" eb="5">
      <t>ジカン</t>
    </rPh>
    <phoneticPr fontId="3"/>
  </si>
  <si>
    <t>労働時間に応じて必ず休憩を取ることとして以下の時間を休憩時間とする。</t>
    <rPh sb="0" eb="2">
      <t>ロウドウ</t>
    </rPh>
    <rPh sb="2" eb="4">
      <t>ジカン</t>
    </rPh>
    <rPh sb="5" eb="6">
      <t>オウ</t>
    </rPh>
    <rPh sb="8" eb="9">
      <t>カナラ</t>
    </rPh>
    <rPh sb="10" eb="12">
      <t>キュウケイ</t>
    </rPh>
    <rPh sb="13" eb="14">
      <t>ト</t>
    </rPh>
    <rPh sb="20" eb="22">
      <t>イカ</t>
    </rPh>
    <rPh sb="23" eb="25">
      <t>ジカン</t>
    </rPh>
    <rPh sb="26" eb="28">
      <t>キュウケイ</t>
    </rPh>
    <rPh sb="28" eb="30">
      <t>ジカン</t>
    </rPh>
    <phoneticPr fontId="3"/>
  </si>
  <si>
    <t>12:00～13:00　1.0時間</t>
    <rPh sb="15" eb="17">
      <t>ジカン</t>
    </rPh>
    <phoneticPr fontId="3"/>
  </si>
  <si>
    <t>17:30～18:30　1.0時間</t>
    <rPh sb="15" eb="17">
      <t>ジカン</t>
    </rPh>
    <phoneticPr fontId="3"/>
  </si>
  <si>
    <t>22:00～22:30　0.5時間</t>
    <rPh sb="15" eb="17">
      <t>ジカン</t>
    </rPh>
    <phoneticPr fontId="3"/>
  </si>
  <si>
    <t>作業時間の計算は上記の時間に関係なく、全時間に応じて休憩時間を差し引いて、作業時間としている。</t>
    <rPh sb="0" eb="2">
      <t>サギョウ</t>
    </rPh>
    <rPh sb="2" eb="4">
      <t>ジカン</t>
    </rPh>
    <rPh sb="5" eb="7">
      <t>ケイサン</t>
    </rPh>
    <rPh sb="8" eb="10">
      <t>ジョウキ</t>
    </rPh>
    <rPh sb="11" eb="13">
      <t>ジカン</t>
    </rPh>
    <rPh sb="14" eb="16">
      <t>カンケイ</t>
    </rPh>
    <rPh sb="19" eb="20">
      <t>ゼン</t>
    </rPh>
    <rPh sb="20" eb="22">
      <t>ジカン</t>
    </rPh>
    <rPh sb="23" eb="24">
      <t>オウ</t>
    </rPh>
    <rPh sb="26" eb="28">
      <t>キュウケイ</t>
    </rPh>
    <rPh sb="28" eb="30">
      <t>ジカン</t>
    </rPh>
    <rPh sb="31" eb="32">
      <t>サ</t>
    </rPh>
    <rPh sb="33" eb="34">
      <t>ヒ</t>
    </rPh>
    <rPh sb="37" eb="39">
      <t>サギョウ</t>
    </rPh>
    <rPh sb="39" eb="41">
      <t>ジカン</t>
    </rPh>
    <phoneticPr fontId="3"/>
  </si>
  <si>
    <t>■残業手当について</t>
    <rPh sb="1" eb="3">
      <t>ザンギョウ</t>
    </rPh>
    <rPh sb="3" eb="5">
      <t>テアテ</t>
    </rPh>
    <phoneticPr fontId="3"/>
  </si>
  <si>
    <t>残業時間が50時間までは既に給与に含まれているため残業手当が発生するのは51時間～90時間まで。</t>
    <rPh sb="0" eb="2">
      <t>ザンギョウ</t>
    </rPh>
    <rPh sb="2" eb="4">
      <t>ジカン</t>
    </rPh>
    <rPh sb="7" eb="9">
      <t>ジカン</t>
    </rPh>
    <rPh sb="12" eb="13">
      <t>スデ</t>
    </rPh>
    <rPh sb="14" eb="16">
      <t>キュウヨ</t>
    </rPh>
    <rPh sb="17" eb="18">
      <t>フク</t>
    </rPh>
    <rPh sb="25" eb="27">
      <t>ザンギョウ</t>
    </rPh>
    <rPh sb="27" eb="29">
      <t>テアテ</t>
    </rPh>
    <rPh sb="30" eb="32">
      <t>ハッセイ</t>
    </rPh>
    <rPh sb="38" eb="40">
      <t>ジカン</t>
    </rPh>
    <rPh sb="43" eb="45">
      <t>ジカン</t>
    </rPh>
    <phoneticPr fontId="3"/>
  </si>
  <si>
    <t>91時間以上の残業は90時間とされるため出来る限り超えないように調整・相談すること。</t>
    <rPh sb="2" eb="4">
      <t>ジカン</t>
    </rPh>
    <rPh sb="4" eb="6">
      <t>イジョウ</t>
    </rPh>
    <rPh sb="7" eb="9">
      <t>ザンギョウ</t>
    </rPh>
    <rPh sb="12" eb="14">
      <t>ジカン</t>
    </rPh>
    <rPh sb="20" eb="22">
      <t>デキ</t>
    </rPh>
    <rPh sb="23" eb="24">
      <t>カギ</t>
    </rPh>
    <rPh sb="25" eb="26">
      <t>コ</t>
    </rPh>
    <rPh sb="32" eb="34">
      <t>チョウセイ</t>
    </rPh>
    <rPh sb="35" eb="37">
      <t>ソウダン</t>
    </rPh>
    <phoneticPr fontId="3"/>
  </si>
  <si>
    <t>■基本設定（社員各自で設定すること）</t>
    <rPh sb="1" eb="3">
      <t>キホン</t>
    </rPh>
    <rPh sb="3" eb="5">
      <t>セッッテイ</t>
    </rPh>
    <rPh sb="6" eb="8">
      <t>シャイン</t>
    </rPh>
    <rPh sb="8" eb="10">
      <t>カクジ</t>
    </rPh>
    <rPh sb="11" eb="13">
      <t>セッテイ</t>
    </rPh>
    <phoneticPr fontId="3"/>
  </si>
  <si>
    <t>00249</t>
    <phoneticPr fontId="3"/>
  </si>
  <si>
    <t>大野原　信</t>
    <rPh sb="0" eb="3">
      <t>オオノハラ</t>
    </rPh>
    <rPh sb="4" eb="5">
      <t>マコト</t>
    </rPh>
    <phoneticPr fontId="3"/>
  </si>
  <si>
    <t>NTTコムウェア ELSA 開発作業</t>
    <rPh sb="14" eb="16">
      <t>カイハツ</t>
    </rPh>
    <rPh sb="16" eb="18">
      <t>サギョウ</t>
    </rPh>
    <phoneticPr fontId="3"/>
  </si>
  <si>
    <t>ID</t>
    <phoneticPr fontId="3"/>
  </si>
  <si>
    <t>名</t>
    <rPh sb="0" eb="1">
      <t>メイ</t>
    </rPh>
    <phoneticPr fontId="3"/>
  </si>
  <si>
    <t>姓</t>
    <rPh sb="0" eb="1">
      <t>セイ</t>
    </rPh>
    <phoneticPr fontId="3"/>
  </si>
  <si>
    <t>id</t>
    <phoneticPr fontId="3"/>
  </si>
  <si>
    <t>employee_code</t>
    <phoneticPr fontId="3"/>
  </si>
  <si>
    <t>lastname</t>
    <phoneticPr fontId="3"/>
  </si>
  <si>
    <t>firstname</t>
    <phoneticPr fontId="3"/>
  </si>
  <si>
    <t>メールアドレス</t>
    <phoneticPr fontId="3"/>
  </si>
  <si>
    <t>パスワード</t>
    <phoneticPr fontId="3"/>
  </si>
  <si>
    <t>m.oonohara@micromagic.co.jp</t>
    <phoneticPr fontId="3"/>
  </si>
  <si>
    <t>micro</t>
    <phoneticPr fontId="3"/>
  </si>
  <si>
    <t>email</t>
    <phoneticPr fontId="3"/>
  </si>
  <si>
    <t>password</t>
    <phoneticPr fontId="3"/>
  </si>
  <si>
    <t>論理名</t>
    <rPh sb="0" eb="3">
      <t>ロンリメイ</t>
    </rPh>
    <phoneticPr fontId="3"/>
  </si>
  <si>
    <t>物理名</t>
    <rPh sb="0" eb="2">
      <t>ブツリ</t>
    </rPh>
    <rPh sb="2" eb="3">
      <t>メイ</t>
    </rPh>
    <phoneticPr fontId="3"/>
  </si>
  <si>
    <t>データ型</t>
    <rPh sb="3" eb="4">
      <t>ガタ</t>
    </rPh>
    <phoneticPr fontId="3"/>
  </si>
  <si>
    <t>int</t>
    <phoneticPr fontId="3"/>
  </si>
  <si>
    <t>pk</t>
    <phoneticPr fontId="3"/>
  </si>
  <si>
    <t>index</t>
    <phoneticPr fontId="3"/>
  </si>
  <si>
    <t>例</t>
    <rPh sb="0" eb="1">
      <t>レイ</t>
    </rPh>
    <phoneticPr fontId="3"/>
  </si>
  <si>
    <t>大野原</t>
    <rPh sb="0" eb="3">
      <t>オオノハラ</t>
    </rPh>
    <phoneticPr fontId="3"/>
  </si>
  <si>
    <t>信</t>
    <rPh sb="0" eb="1">
      <t>マコト</t>
    </rPh>
    <phoneticPr fontId="3"/>
  </si>
  <si>
    <t>おおのはら</t>
    <phoneticPr fontId="3"/>
  </si>
  <si>
    <t>まこと</t>
    <phoneticPr fontId="3"/>
  </si>
  <si>
    <t>せい</t>
    <phoneticPr fontId="3"/>
  </si>
  <si>
    <t>めい</t>
    <phoneticPr fontId="3"/>
  </si>
  <si>
    <t>lastname_hira</t>
    <phoneticPr fontId="3"/>
  </si>
  <si>
    <t>firstname_hira</t>
    <phoneticPr fontId="3"/>
  </si>
  <si>
    <t>varchar 100</t>
    <phoneticPr fontId="3"/>
  </si>
  <si>
    <t>varchar 50</t>
    <phoneticPr fontId="3"/>
  </si>
  <si>
    <t>varchar 10</t>
    <phoneticPr fontId="3"/>
  </si>
  <si>
    <t>varchar 5</t>
    <phoneticPr fontId="3"/>
  </si>
  <si>
    <t>日付</t>
    <rPh sb="0" eb="2">
      <t>ヒヅケ</t>
    </rPh>
    <phoneticPr fontId="3"/>
  </si>
  <si>
    <t>日報テーブル</t>
    <rPh sb="0" eb="2">
      <t>ニッポウ</t>
    </rPh>
    <phoneticPr fontId="3"/>
  </si>
  <si>
    <t>従業員テーブル</t>
    <phoneticPr fontId="3"/>
  </si>
  <si>
    <t>開始時間</t>
    <rPh sb="0" eb="4">
      <t>カイシジカン</t>
    </rPh>
    <phoneticPr fontId="3"/>
  </si>
  <si>
    <t>終了時間</t>
    <rPh sb="0" eb="4">
      <t>シュウリョウジカン</t>
    </rPh>
    <phoneticPr fontId="3"/>
  </si>
  <si>
    <t>全時間</t>
    <rPh sb="0" eb="3">
      <t>ゼンジカン</t>
    </rPh>
    <phoneticPr fontId="3"/>
  </si>
  <si>
    <t>working_date</t>
    <phoneticPr fontId="3"/>
  </si>
  <si>
    <t>job</t>
    <phoneticPr fontId="3"/>
  </si>
  <si>
    <t>remarks</t>
    <phoneticPr fontId="3"/>
  </si>
  <si>
    <t>start_time</t>
    <phoneticPr fontId="3"/>
  </si>
  <si>
    <t>end_time</t>
    <phoneticPr fontId="3"/>
  </si>
  <si>
    <t>all_time</t>
    <phoneticPr fontId="3"/>
  </si>
  <si>
    <t>working_time</t>
    <phoneticPr fontId="3"/>
  </si>
  <si>
    <t>over_time</t>
    <phoneticPr fontId="3"/>
  </si>
  <si>
    <t>time</t>
    <phoneticPr fontId="3"/>
  </si>
  <si>
    <t>text</t>
    <phoneticPr fontId="3"/>
  </si>
  <si>
    <t>date</t>
    <phoneticPr fontId="3"/>
  </si>
  <si>
    <t>YYYY-MM-DD</t>
    <phoneticPr fontId="3"/>
  </si>
  <si>
    <t>float</t>
    <phoneticPr fontId="3"/>
  </si>
  <si>
    <t>0.0</t>
    <phoneticPr fontId="3"/>
  </si>
  <si>
    <t>n</t>
    <phoneticPr fontId="3"/>
  </si>
  <si>
    <t>社員ID</t>
    <rPh sb="0" eb="2">
      <t>シャイン</t>
    </rPh>
    <phoneticPr fontId="3"/>
  </si>
  <si>
    <t>fk,index</t>
    <phoneticPr fontId="3"/>
  </si>
  <si>
    <t>employee_id</t>
    <phoneticPr fontId="3"/>
  </si>
  <si>
    <t>特別休暇：</t>
  </si>
  <si>
    <t>備考マスタテーブル</t>
    <rPh sb="0" eb="2">
      <t>ビコウ</t>
    </rPh>
    <phoneticPr fontId="3"/>
  </si>
  <si>
    <t>employees</t>
    <phoneticPr fontId="3"/>
  </si>
  <si>
    <t>daily_reports</t>
    <phoneticPr fontId="3"/>
  </si>
  <si>
    <t>remark</t>
    <phoneticPr fontId="3"/>
  </si>
  <si>
    <t>有給休暇、AM有給休暇</t>
    <rPh sb="0" eb="4">
      <t>ユウキュウ</t>
    </rPh>
    <rPh sb="7" eb="11">
      <t>ユウキュウキュウカ</t>
    </rPh>
    <phoneticPr fontId="3"/>
  </si>
  <si>
    <t>リスト</t>
    <phoneticPr fontId="3"/>
  </si>
  <si>
    <t>varchar10</t>
    <phoneticPr fontId="3"/>
  </si>
  <si>
    <t>企業情報マスタテーブル</t>
    <rPh sb="0" eb="2">
      <t>キギョウ</t>
    </rPh>
    <rPh sb="2" eb="4">
      <t>ジョウホウ</t>
    </rPh>
    <phoneticPr fontId="3"/>
  </si>
  <si>
    <t>会社名</t>
    <rPh sb="0" eb="3">
      <t>カイシャメイ</t>
    </rPh>
    <phoneticPr fontId="3"/>
  </si>
  <si>
    <t>company</t>
    <phoneticPr fontId="3"/>
  </si>
  <si>
    <t>companies</t>
    <phoneticPr fontId="3"/>
  </si>
  <si>
    <t>会社ID</t>
    <rPh sb="0" eb="2">
      <t>カイシャ</t>
    </rPh>
    <phoneticPr fontId="3"/>
  </si>
  <si>
    <t>company_id</t>
    <phoneticPr fontId="3"/>
  </si>
  <si>
    <t>勤務日数</t>
    <rPh sb="0" eb="2">
      <t>キンム</t>
    </rPh>
    <rPh sb="2" eb="4">
      <t>ニッスウ</t>
    </rPh>
    <phoneticPr fontId="3"/>
  </si>
  <si>
    <t>合計全時間</t>
    <rPh sb="0" eb="2">
      <t>ゴウケイ</t>
    </rPh>
    <rPh sb="2" eb="5">
      <t>ゼンジカン</t>
    </rPh>
    <phoneticPr fontId="3"/>
  </si>
  <si>
    <t>合計残業時間</t>
    <rPh sb="0" eb="2">
      <t>ゴウケイ</t>
    </rPh>
    <rPh sb="2" eb="6">
      <t>ザンギョウジカン</t>
    </rPh>
    <phoneticPr fontId="3"/>
  </si>
  <si>
    <t>合計作業時間</t>
    <rPh sb="0" eb="2">
      <t>ゴウケイ</t>
    </rPh>
    <rPh sb="2" eb="4">
      <t>サギョウ</t>
    </rPh>
    <rPh sb="4" eb="6">
      <t>ジカン</t>
    </rPh>
    <phoneticPr fontId="3"/>
  </si>
  <si>
    <t>num_working_days</t>
    <phoneticPr fontId="3"/>
  </si>
  <si>
    <t>total_all_time</t>
    <phoneticPr fontId="3"/>
  </si>
  <si>
    <t>total_working_time</t>
    <phoneticPr fontId="3"/>
  </si>
  <si>
    <t>total_over_time</t>
    <phoneticPr fontId="3"/>
  </si>
  <si>
    <t>153.00</t>
    <phoneticPr fontId="3"/>
  </si>
  <si>
    <t>135.00</t>
    <phoneticPr fontId="3"/>
  </si>
  <si>
    <t>0.00</t>
    <phoneticPr fontId="3"/>
  </si>
  <si>
    <t>TIMEDIFF( time2 , time1 );</t>
  </si>
  <si>
    <t>javaメソッドで計算</t>
    <rPh sb="9" eb="11">
      <t>ケイサン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</si>
</sst>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_);[Red]\(0\)"/>
    <numFmt numFmtId="177" formatCode="0.00_);[Red]\(0.00\)"/>
    <numFmt numFmtId="178" formatCode="0.0_);[Red]\(0.0\)"/>
    <numFmt numFmtId="179" formatCode="h:mm;@"/>
    <numFmt numFmtId="180" formatCode="0.0_ "/>
    <numFmt numFmtId="181" formatCode="0.00_ "/>
    <numFmt numFmtId="182" formatCode="d"/>
    <numFmt numFmtId="183" formatCode="yyyy&quot;年&quot;m&quot;月分&quot;"/>
    <numFmt numFmtId="184" formatCode="&quot;提出日  &quot;yyyy&quot;年&quot;m&quot;月&quot;d&quot;日&quot;"/>
    <numFmt numFmtId="185" formatCode="aaa"/>
    <numFmt numFmtId="186" formatCode="[$-F800]dddd\,\ mmmm\ dd\,\ yyyy"/>
    <numFmt numFmtId="187" formatCode="yyyy&quot;年度 届出&quot;"/>
    <numFmt numFmtId="188" formatCode="yyyy&quot;年度振替出勤管理表&quot;"/>
    <numFmt numFmtId="189" formatCode="[h]:mm"/>
  </numFmts>
  <fonts count="33" x14ac:knownFonts="1">
    <font>
      <sz val="11"/>
      <name val="ＭＳ Ｐゴシック"/>
      <family val="3"/>
      <charset val="128"/>
    </font>
    <font>
      <sz val="11"/>
      <name val="ＭＳ Ｐゴシック"/>
      <family val="3"/>
      <charset val="128"/>
    </font>
    <font>
      <b/>
      <sz val="11"/>
      <name val="ＭＳ Ｐ明朝"/>
      <family val="1"/>
      <charset val="128"/>
    </font>
    <font>
      <sz val="6"/>
      <name val="ＭＳ Ｐゴシック"/>
      <family val="3"/>
      <charset val="128"/>
    </font>
    <font>
      <sz val="11"/>
      <name val="ＭＳ Ｐ明朝"/>
      <family val="1"/>
      <charset val="128"/>
    </font>
    <font>
      <b/>
      <u/>
      <sz val="11"/>
      <name val="ＭＳ Ｐ明朝"/>
      <family val="1"/>
      <charset val="128"/>
    </font>
    <font>
      <b/>
      <sz val="14"/>
      <name val="ＭＳ Ｐ明朝"/>
      <family val="1"/>
      <charset val="128"/>
    </font>
    <font>
      <sz val="9"/>
      <name val="ＭＳ Ｐ明朝"/>
      <family val="1"/>
      <charset val="128"/>
    </font>
    <font>
      <sz val="8"/>
      <name val="ＭＳ Ｐ明朝"/>
      <family val="1"/>
      <charset val="128"/>
    </font>
    <font>
      <sz val="10"/>
      <name val="Century"/>
      <family val="1"/>
    </font>
    <font>
      <sz val="11"/>
      <name val="Century"/>
      <family val="1"/>
    </font>
    <font>
      <b/>
      <sz val="11"/>
      <name val="Century"/>
      <family val="1"/>
    </font>
    <font>
      <sz val="9"/>
      <color indexed="10"/>
      <name val="ＭＳ Ｐ明朝"/>
      <family val="1"/>
      <charset val="128"/>
    </font>
    <font>
      <sz val="10"/>
      <name val="ＭＳ Ｐ明朝"/>
      <family val="1"/>
      <charset val="128"/>
    </font>
    <font>
      <b/>
      <sz val="9"/>
      <name val="ＭＳ Ｐゴシック"/>
      <family val="3"/>
      <charset val="128"/>
    </font>
    <font>
      <b/>
      <sz val="11"/>
      <name val="ＭＳ Ｐゴシック"/>
      <family val="3"/>
      <charset val="128"/>
    </font>
    <font>
      <b/>
      <sz val="16"/>
      <name val="ＭＳ Ｐ明朝"/>
      <family val="1"/>
      <charset val="128"/>
    </font>
    <font>
      <b/>
      <sz val="16"/>
      <name val="Century"/>
      <family val="1"/>
    </font>
    <font>
      <sz val="10.5"/>
      <name val="ＭＳ 明朝"/>
      <family val="1"/>
      <charset val="128"/>
    </font>
    <font>
      <sz val="12"/>
      <name val="Century"/>
      <family val="1"/>
    </font>
    <font>
      <b/>
      <u/>
      <sz val="9"/>
      <name val="Century"/>
      <family val="1"/>
    </font>
    <font>
      <b/>
      <sz val="20"/>
      <name val="ＭＳ Ｐ明朝"/>
      <family val="1"/>
      <charset val="128"/>
    </font>
    <font>
      <b/>
      <sz val="9"/>
      <color indexed="81"/>
      <name val="ＭＳ Ｐゴシック"/>
      <family val="3"/>
      <charset val="128"/>
    </font>
    <font>
      <b/>
      <sz val="16"/>
      <color indexed="12"/>
      <name val="Century"/>
      <family val="1"/>
    </font>
    <font>
      <sz val="11"/>
      <color indexed="10"/>
      <name val="ＭＳ Ｐゴシック"/>
      <family val="3"/>
      <charset val="128"/>
    </font>
    <font>
      <sz val="10.5"/>
      <name val="ＭＳ Ｐ明朝"/>
      <family val="1"/>
      <charset val="128"/>
    </font>
    <font>
      <b/>
      <sz val="11"/>
      <color indexed="9"/>
      <name val="ＭＳ Ｐゴシック"/>
      <family val="3"/>
      <charset val="128"/>
    </font>
    <font>
      <b/>
      <sz val="9"/>
      <color indexed="12"/>
      <name val="ＭＳ Ｐゴシック"/>
      <family val="3"/>
      <charset val="128"/>
    </font>
    <font>
      <sz val="11"/>
      <name val="ＭＳ ゴシック"/>
      <family val="3"/>
      <charset val="128"/>
    </font>
    <font>
      <sz val="9"/>
      <name val="ＭＳ Ｐゴシック"/>
      <family val="3"/>
      <charset val="128"/>
    </font>
    <font>
      <b/>
      <sz val="12"/>
      <name val="ＭＳ Ｐゴシック"/>
      <family val="3"/>
      <charset val="128"/>
    </font>
    <font>
      <sz val="11"/>
      <color rgb="FFFF0000"/>
      <name val="HGS創英角ﾎﾟｯﾌﾟ体"/>
      <family val="3"/>
      <charset val="128"/>
    </font>
    <font>
      <sz val="11"/>
      <color theme="0" tint="-4.9989318521683403E-2"/>
      <name val="ＭＳ Ｐ明朝"/>
      <family val="1"/>
      <charset val="128"/>
    </font>
  </fonts>
  <fills count="12">
    <fill>
      <patternFill patternType="none"/>
    </fill>
    <fill>
      <patternFill patternType="gray125"/>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14"/>
        <bgColor indexed="64"/>
      </patternFill>
    </fill>
    <fill>
      <patternFill patternType="solid">
        <fgColor indexed="48"/>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ck">
        <color indexed="10"/>
      </left>
      <right style="thick">
        <color indexed="10"/>
      </right>
      <top style="thick">
        <color indexed="10"/>
      </top>
      <bottom style="thin">
        <color indexed="64"/>
      </bottom>
      <diagonal/>
    </border>
    <border>
      <left style="thick">
        <color indexed="10"/>
      </left>
      <right style="thick">
        <color indexed="10"/>
      </right>
      <top style="thin">
        <color indexed="64"/>
      </top>
      <bottom style="thin">
        <color indexed="64"/>
      </bottom>
      <diagonal/>
    </border>
    <border>
      <left style="thick">
        <color indexed="10"/>
      </left>
      <right style="thick">
        <color indexed="10"/>
      </right>
      <top style="thin">
        <color indexed="64"/>
      </top>
      <bottom style="thick">
        <color indexed="1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top style="thin">
        <color indexed="64"/>
      </top>
      <bottom style="thin">
        <color indexed="64"/>
      </bottom>
      <diagonal/>
    </border>
  </borders>
  <cellStyleXfs count="3">
    <xf numFmtId="0" fontId="0" fillId="0" borderId="0"/>
    <xf numFmtId="0" fontId="12" fillId="0" borderId="1">
      <alignment horizontal="center" vertical="center"/>
    </xf>
    <xf numFmtId="0" fontId="1" fillId="0" borderId="0"/>
  </cellStyleXfs>
  <cellXfs count="149">
    <xf numFmtId="0" fontId="0" fillId="0" borderId="0" xfId="0"/>
    <xf numFmtId="0" fontId="0" fillId="0" borderId="0" xfId="0" applyAlignment="1">
      <alignment vertical="center"/>
    </xf>
    <xf numFmtId="0" fontId="1" fillId="0" borderId="0" xfId="0" applyFont="1" applyAlignment="1">
      <alignment vertical="center"/>
    </xf>
    <xf numFmtId="14" fontId="0" fillId="0" borderId="0" xfId="0" applyNumberFormat="1" applyAlignment="1">
      <alignment vertical="center"/>
    </xf>
    <xf numFmtId="0" fontId="0" fillId="0" borderId="0" xfId="0" applyNumberFormat="1" applyAlignment="1">
      <alignment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 fillId="0" borderId="1" xfId="0" applyFont="1" applyBorder="1" applyAlignment="1">
      <alignment vertical="center"/>
    </xf>
    <xf numFmtId="0" fontId="18" fillId="0" borderId="1" xfId="0" applyFont="1" applyBorder="1" applyAlignment="1">
      <alignment horizontal="justify" vertical="center" wrapText="1"/>
    </xf>
    <xf numFmtId="0" fontId="1" fillId="0" borderId="1" xfId="0" applyFont="1" applyBorder="1" applyAlignment="1">
      <alignment horizontal="left" vertical="center"/>
    </xf>
    <xf numFmtId="0" fontId="15" fillId="2" borderId="4" xfId="0" applyFont="1" applyFill="1" applyBorder="1" applyAlignment="1">
      <alignment horizontal="center" vertical="center"/>
    </xf>
    <xf numFmtId="0" fontId="15" fillId="2" borderId="5" xfId="0" applyFont="1" applyFill="1" applyBorder="1" applyAlignment="1">
      <alignment horizontal="center" vertical="center"/>
    </xf>
    <xf numFmtId="0" fontId="0" fillId="0" borderId="0" xfId="0" applyAlignment="1">
      <alignment horizontal="center" vertical="center"/>
    </xf>
    <xf numFmtId="0" fontId="1" fillId="0" borderId="2" xfId="2" applyBorder="1" applyAlignment="1">
      <alignment horizontal="center" vertical="center"/>
    </xf>
    <xf numFmtId="0" fontId="1" fillId="0" borderId="4" xfId="2" applyBorder="1" applyAlignment="1">
      <alignment horizontal="center" vertical="center"/>
    </xf>
    <xf numFmtId="0" fontId="1" fillId="0" borderId="1" xfId="2" applyFont="1" applyBorder="1" applyAlignment="1">
      <alignment horizontal="center" vertical="center"/>
    </xf>
    <xf numFmtId="0" fontId="1" fillId="0" borderId="5" xfId="2" applyBorder="1" applyAlignment="1">
      <alignment horizontal="center" vertical="center"/>
    </xf>
    <xf numFmtId="179" fontId="1" fillId="0" borderId="3" xfId="2" applyNumberFormat="1" applyFont="1" applyBorder="1" applyAlignment="1">
      <alignment horizontal="center" vertical="center"/>
    </xf>
    <xf numFmtId="179" fontId="1" fillId="0" borderId="3" xfId="2" applyNumberFormat="1" applyBorder="1" applyAlignment="1">
      <alignment horizontal="center" vertical="center"/>
    </xf>
    <xf numFmtId="180" fontId="1" fillId="0" borderId="1" xfId="2" applyNumberFormat="1" applyBorder="1" applyAlignment="1">
      <alignment horizontal="center" vertical="center"/>
    </xf>
    <xf numFmtId="0" fontId="24" fillId="0" borderId="1" xfId="2" applyFont="1" applyBorder="1" applyAlignment="1">
      <alignment horizontal="center" vertical="center"/>
    </xf>
    <xf numFmtId="0" fontId="1" fillId="0" borderId="1" xfId="2" applyFont="1" applyBorder="1" applyAlignment="1">
      <alignment horizontal="left" vertical="center" wrapText="1"/>
    </xf>
    <xf numFmtId="0" fontId="25" fillId="0" borderId="1" xfId="0" applyFont="1" applyBorder="1" applyAlignment="1">
      <alignment horizontal="justify" vertical="center" wrapText="1"/>
    </xf>
    <xf numFmtId="0" fontId="1" fillId="0" borderId="0" xfId="0" applyFont="1" applyAlignment="1">
      <alignment horizontal="center" vertical="center"/>
    </xf>
    <xf numFmtId="0" fontId="25" fillId="0" borderId="1" xfId="0" applyFont="1" applyFill="1" applyBorder="1" applyAlignment="1">
      <alignment horizontal="justify" vertical="center" wrapText="1"/>
    </xf>
    <xf numFmtId="0" fontId="0" fillId="0" borderId="3" xfId="0" applyBorder="1" applyAlignment="1">
      <alignment horizontal="center" vertical="center"/>
    </xf>
    <xf numFmtId="0" fontId="1" fillId="0" borderId="5" xfId="2" applyFont="1"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vertical="center"/>
    </xf>
    <xf numFmtId="0" fontId="1" fillId="0" borderId="2" xfId="2" applyFont="1" applyBorder="1" applyAlignment="1">
      <alignment horizontal="center" vertical="center"/>
    </xf>
    <xf numFmtId="0" fontId="7" fillId="0" borderId="6" xfId="0" applyFont="1" applyBorder="1" applyAlignment="1" applyProtection="1">
      <alignment horizontal="left" vertical="top" wrapText="1"/>
      <protection locked="0"/>
    </xf>
    <xf numFmtId="182" fontId="19" fillId="3" borderId="6" xfId="0" applyNumberFormat="1" applyFont="1" applyFill="1" applyBorder="1" applyAlignment="1" applyProtection="1">
      <alignment horizontal="center" vertical="center"/>
    </xf>
    <xf numFmtId="176" fontId="11" fillId="3" borderId="7" xfId="0" applyNumberFormat="1" applyFont="1" applyFill="1" applyBorder="1" applyAlignment="1" applyProtection="1">
      <alignment horizontal="center" vertical="center"/>
    </xf>
    <xf numFmtId="177" fontId="11" fillId="3" borderId="7" xfId="0" applyNumberFormat="1" applyFont="1" applyFill="1" applyBorder="1" applyAlignment="1" applyProtection="1">
      <alignment horizontal="center" vertical="center"/>
    </xf>
    <xf numFmtId="177" fontId="11" fillId="3" borderId="8" xfId="0" applyNumberFormat="1" applyFont="1" applyFill="1" applyBorder="1" applyAlignment="1" applyProtection="1">
      <alignment horizontal="right" vertical="center"/>
    </xf>
    <xf numFmtId="185" fontId="19" fillId="3" borderId="9" xfId="0" applyNumberFormat="1" applyFont="1" applyFill="1" applyBorder="1" applyAlignment="1" applyProtection="1">
      <alignment horizontal="center" vertical="center"/>
    </xf>
    <xf numFmtId="182" fontId="19" fillId="3" borderId="10" xfId="0" applyNumberFormat="1" applyFont="1" applyFill="1" applyBorder="1" applyAlignment="1" applyProtection="1">
      <alignment horizontal="center" vertical="center"/>
    </xf>
    <xf numFmtId="185" fontId="19" fillId="3" borderId="11" xfId="0" applyNumberFormat="1" applyFont="1" applyFill="1" applyBorder="1" applyAlignment="1" applyProtection="1">
      <alignment horizontal="center" vertical="center"/>
    </xf>
    <xf numFmtId="182" fontId="19" fillId="3" borderId="12" xfId="0" applyNumberFormat="1" applyFont="1" applyFill="1" applyBorder="1" applyAlignment="1" applyProtection="1">
      <alignment horizontal="center" vertical="center"/>
    </xf>
    <xf numFmtId="185" fontId="19" fillId="3" borderId="13" xfId="0" applyNumberFormat="1" applyFont="1" applyFill="1" applyBorder="1" applyAlignment="1" applyProtection="1">
      <alignment horizontal="center" vertical="center"/>
    </xf>
    <xf numFmtId="0" fontId="7" fillId="0" borderId="12" xfId="0" applyFont="1" applyBorder="1" applyAlignment="1" applyProtection="1">
      <alignment horizontal="left" vertical="top" wrapText="1"/>
      <protection locked="0"/>
    </xf>
    <xf numFmtId="178" fontId="10" fillId="4" borderId="13" xfId="0" applyNumberFormat="1" applyFont="1" applyFill="1" applyBorder="1" applyAlignment="1" applyProtection="1">
      <alignment horizontal="right" vertical="center"/>
    </xf>
    <xf numFmtId="0" fontId="12" fillId="0" borderId="14" xfId="0" applyFont="1" applyBorder="1" applyAlignment="1" applyProtection="1">
      <alignment horizontal="left" vertical="top" wrapText="1"/>
      <protection locked="0"/>
    </xf>
    <xf numFmtId="0" fontId="21" fillId="0" borderId="0" xfId="0" applyFont="1" applyAlignment="1" applyProtection="1">
      <alignment vertical="center"/>
    </xf>
    <xf numFmtId="0" fontId="4" fillId="0" borderId="0" xfId="0" applyFont="1" applyAlignment="1" applyProtection="1">
      <alignment vertical="center"/>
    </xf>
    <xf numFmtId="0" fontId="13" fillId="0" borderId="0" xfId="0" applyFont="1" applyAlignment="1" applyProtection="1">
      <alignment horizontal="left" vertical="center"/>
    </xf>
    <xf numFmtId="0" fontId="4" fillId="0" borderId="0" xfId="0" applyFont="1" applyAlignment="1" applyProtection="1">
      <alignment horizontal="center" vertical="center"/>
    </xf>
    <xf numFmtId="0" fontId="7" fillId="0" borderId="0" xfId="0" applyFont="1" applyAlignment="1" applyProtection="1">
      <alignment horizontal="center" vertical="center"/>
    </xf>
    <xf numFmtId="186" fontId="20" fillId="0" borderId="0" xfId="0" applyNumberFormat="1" applyFont="1" applyAlignment="1" applyProtection="1">
      <alignment horizontal="left" vertical="center"/>
    </xf>
    <xf numFmtId="14" fontId="20" fillId="0" borderId="0" xfId="0" applyNumberFormat="1" applyFont="1" applyAlignment="1" applyProtection="1">
      <alignment horizontal="left" vertical="center"/>
    </xf>
    <xf numFmtId="0" fontId="6" fillId="0" borderId="0" xfId="0" applyFont="1" applyAlignment="1" applyProtection="1">
      <alignment horizontal="center" vertical="center"/>
    </xf>
    <xf numFmtId="0" fontId="7" fillId="0" borderId="0" xfId="0" applyFont="1" applyBorder="1" applyAlignment="1" applyProtection="1">
      <alignment horizontal="center" vertical="center"/>
    </xf>
    <xf numFmtId="0" fontId="7" fillId="0" borderId="1"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0" fontId="4" fillId="0" borderId="0" xfId="0" applyFont="1" applyBorder="1" applyAlignment="1" applyProtection="1">
      <alignment horizontal="center" vertical="center"/>
    </xf>
    <xf numFmtId="0" fontId="4" fillId="0" borderId="0" xfId="0" applyFont="1" applyBorder="1" applyAlignment="1" applyProtection="1">
      <alignment vertical="center"/>
    </xf>
    <xf numFmtId="0" fontId="6" fillId="0" borderId="0" xfId="0" applyFont="1" applyBorder="1" applyAlignment="1" applyProtection="1">
      <alignment horizontal="center" vertical="center"/>
    </xf>
    <xf numFmtId="0" fontId="6" fillId="0" borderId="1" xfId="0" applyFont="1" applyBorder="1" applyAlignment="1" applyProtection="1">
      <alignment horizontal="center" vertical="center"/>
    </xf>
    <xf numFmtId="0" fontId="8" fillId="0" borderId="0" xfId="0" applyFont="1" applyAlignment="1" applyProtection="1">
      <alignment horizontal="center" vertical="center"/>
    </xf>
    <xf numFmtId="0" fontId="14" fillId="3" borderId="15" xfId="0" applyFont="1" applyFill="1" applyBorder="1" applyAlignment="1" applyProtection="1">
      <alignment horizontal="center" vertical="center"/>
    </xf>
    <xf numFmtId="0" fontId="14" fillId="3" borderId="16" xfId="0" applyFont="1" applyFill="1" applyBorder="1" applyAlignment="1" applyProtection="1">
      <alignment horizontal="center" vertical="center"/>
    </xf>
    <xf numFmtId="0" fontId="14" fillId="3" borderId="17"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14" fontId="7" fillId="0" borderId="0" xfId="0" applyNumberFormat="1" applyFont="1" applyAlignment="1" applyProtection="1">
      <alignment horizontal="center" vertical="center"/>
    </xf>
    <xf numFmtId="0" fontId="7" fillId="0" borderId="12" xfId="0" applyFont="1" applyBorder="1" applyAlignment="1" applyProtection="1">
      <alignment horizontal="left" vertical="top" wrapText="1"/>
    </xf>
    <xf numFmtId="0" fontId="12" fillId="0" borderId="14" xfId="0" applyFont="1" applyBorder="1" applyAlignment="1" applyProtection="1">
      <alignment horizontal="left" vertical="top" wrapText="1"/>
    </xf>
    <xf numFmtId="180" fontId="10" fillId="4" borderId="14" xfId="0" applyNumberFormat="1" applyFont="1" applyFill="1" applyBorder="1" applyAlignment="1" applyProtection="1">
      <alignment horizontal="center" vertical="center"/>
    </xf>
    <xf numFmtId="178" fontId="10" fillId="4" borderId="14" xfId="0" applyNumberFormat="1" applyFont="1" applyFill="1" applyBorder="1" applyAlignment="1" applyProtection="1">
      <alignment horizontal="center" vertical="center"/>
    </xf>
    <xf numFmtId="0" fontId="7" fillId="0" borderId="6" xfId="0" applyFont="1" applyBorder="1" applyAlignment="1" applyProtection="1">
      <alignment horizontal="left" vertical="top" wrapText="1"/>
    </xf>
    <xf numFmtId="0" fontId="15" fillId="3" borderId="19" xfId="0" applyFont="1" applyFill="1" applyBorder="1" applyAlignment="1" applyProtection="1">
      <alignment horizontal="right" vertical="center"/>
    </xf>
    <xf numFmtId="0" fontId="15" fillId="3" borderId="7" xfId="0" applyFont="1" applyFill="1" applyBorder="1" applyAlignment="1" applyProtection="1">
      <alignment horizontal="right" vertical="center"/>
    </xf>
    <xf numFmtId="0" fontId="11" fillId="3" borderId="20" xfId="0" applyFont="1" applyFill="1" applyBorder="1" applyAlignment="1" applyProtection="1">
      <alignment horizontal="center" vertical="center"/>
    </xf>
    <xf numFmtId="0" fontId="7" fillId="0" borderId="0" xfId="0" applyFont="1" applyAlignment="1" applyProtection="1">
      <alignment vertical="center"/>
    </xf>
    <xf numFmtId="0" fontId="9" fillId="0" borderId="0" xfId="0" applyFont="1" applyAlignment="1" applyProtection="1">
      <alignment vertical="center"/>
    </xf>
    <xf numFmtId="0" fontId="0" fillId="0" borderId="0" xfId="0" applyAlignment="1" applyProtection="1">
      <alignment vertical="center"/>
    </xf>
    <xf numFmtId="189" fontId="10" fillId="0" borderId="14" xfId="0" applyNumberFormat="1" applyFont="1" applyBorder="1" applyAlignment="1" applyProtection="1">
      <alignment horizontal="center" vertical="center"/>
      <protection locked="0"/>
    </xf>
    <xf numFmtId="189" fontId="10" fillId="0" borderId="2" xfId="0" applyNumberFormat="1" applyFont="1" applyBorder="1" applyAlignment="1" applyProtection="1">
      <alignment horizontal="center" vertical="center"/>
      <protection locked="0"/>
    </xf>
    <xf numFmtId="189" fontId="10" fillId="0" borderId="14" xfId="0" applyNumberFormat="1" applyFont="1" applyBorder="1" applyAlignment="1" applyProtection="1">
      <alignment horizontal="center" vertical="center"/>
    </xf>
    <xf numFmtId="189" fontId="10" fillId="0" borderId="2" xfId="0" applyNumberFormat="1" applyFont="1" applyBorder="1" applyAlignment="1" applyProtection="1">
      <alignment horizontal="center" vertical="center"/>
    </xf>
    <xf numFmtId="180" fontId="1" fillId="0" borderId="5" xfId="2" applyNumberFormat="1" applyFont="1" applyBorder="1" applyAlignment="1">
      <alignment horizontal="center" vertical="center"/>
    </xf>
    <xf numFmtId="180" fontId="1" fillId="0" borderId="1" xfId="0" applyNumberFormat="1" applyFont="1" applyBorder="1" applyAlignment="1">
      <alignment vertical="center"/>
    </xf>
    <xf numFmtId="0" fontId="29" fillId="5" borderId="0" xfId="0" applyFont="1" applyFill="1" applyProtection="1">
      <protection locked="0"/>
    </xf>
    <xf numFmtId="0" fontId="30" fillId="6" borderId="0" xfId="0" applyFont="1" applyFill="1" applyProtection="1">
      <protection locked="0"/>
    </xf>
    <xf numFmtId="0" fontId="29" fillId="6" borderId="0" xfId="0" applyFont="1" applyFill="1" applyProtection="1">
      <protection locked="0"/>
    </xf>
    <xf numFmtId="0" fontId="14" fillId="5" borderId="0" xfId="0" applyFont="1" applyFill="1" applyProtection="1">
      <protection locked="0"/>
    </xf>
    <xf numFmtId="0" fontId="14" fillId="3" borderId="2" xfId="0" applyFont="1" applyFill="1" applyBorder="1" applyProtection="1">
      <protection locked="0"/>
    </xf>
    <xf numFmtId="0" fontId="29" fillId="4" borderId="1" xfId="0" applyFont="1" applyFill="1" applyBorder="1" applyProtection="1">
      <protection locked="0"/>
    </xf>
    <xf numFmtId="49" fontId="29" fillId="5" borderId="21" xfId="0" applyNumberFormat="1" applyFont="1" applyFill="1" applyBorder="1" applyAlignment="1" applyProtection="1">
      <alignment horizontal="center"/>
      <protection locked="0"/>
    </xf>
    <xf numFmtId="49" fontId="29" fillId="5" borderId="22" xfId="0" applyNumberFormat="1" applyFont="1" applyFill="1" applyBorder="1" applyAlignment="1" applyProtection="1">
      <alignment horizontal="center"/>
      <protection locked="0"/>
    </xf>
    <xf numFmtId="14" fontId="29" fillId="5" borderId="23" xfId="0" applyNumberFormat="1" applyFont="1" applyFill="1" applyBorder="1" applyAlignment="1" applyProtection="1">
      <alignment horizontal="center"/>
      <protection locked="0"/>
    </xf>
    <xf numFmtId="180" fontId="24" fillId="0" borderId="5" xfId="2" applyNumberFormat="1" applyFont="1" applyBorder="1" applyAlignment="1">
      <alignment horizontal="center" vertical="center"/>
    </xf>
    <xf numFmtId="0" fontId="0" fillId="0" borderId="1" xfId="2" applyFont="1" applyBorder="1" applyAlignment="1">
      <alignment horizontal="left" vertical="center" wrapText="1"/>
    </xf>
    <xf numFmtId="0" fontId="14" fillId="3" borderId="24" xfId="0" applyFont="1" applyFill="1" applyBorder="1" applyAlignment="1" applyProtection="1">
      <alignment horizontal="center" vertical="top"/>
      <protection locked="0"/>
    </xf>
    <xf numFmtId="0" fontId="14" fillId="3" borderId="25" xfId="0" applyFont="1" applyFill="1" applyBorder="1" applyAlignment="1" applyProtection="1">
      <alignment horizontal="center" vertical="top"/>
      <protection locked="0"/>
    </xf>
    <xf numFmtId="0" fontId="14" fillId="3" borderId="26" xfId="0" applyFont="1" applyFill="1" applyBorder="1" applyAlignment="1" applyProtection="1">
      <alignment horizontal="center" vertical="top"/>
      <protection locked="0"/>
    </xf>
    <xf numFmtId="184" fontId="4" fillId="0" borderId="27" xfId="0" applyNumberFormat="1" applyFont="1" applyBorder="1" applyAlignment="1" applyProtection="1">
      <alignment horizontal="right" vertical="center"/>
    </xf>
    <xf numFmtId="183" fontId="16" fillId="0" borderId="0" xfId="0" applyNumberFormat="1" applyFont="1" applyAlignment="1" applyProtection="1">
      <alignment horizontal="left" vertical="center"/>
    </xf>
    <xf numFmtId="183" fontId="17" fillId="0" borderId="0" xfId="0" applyNumberFormat="1" applyFont="1" applyAlignment="1" applyProtection="1">
      <alignment horizontal="left" vertical="center"/>
    </xf>
    <xf numFmtId="0" fontId="14" fillId="3" borderId="28" xfId="0" applyFont="1" applyFill="1" applyBorder="1" applyAlignment="1" applyProtection="1">
      <alignment horizontal="center" vertical="center"/>
    </xf>
    <xf numFmtId="0" fontId="14" fillId="3" borderId="29" xfId="0" applyFont="1" applyFill="1" applyBorder="1" applyAlignment="1" applyProtection="1">
      <alignment horizontal="center" vertical="center"/>
    </xf>
    <xf numFmtId="0" fontId="23" fillId="0" borderId="0" xfId="0" applyFont="1" applyBorder="1" applyAlignment="1" applyProtection="1">
      <alignment horizontal="center" vertical="center"/>
    </xf>
    <xf numFmtId="0" fontId="2" fillId="3" borderId="30" xfId="0"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87" fontId="16" fillId="0" borderId="0" xfId="0" applyNumberFormat="1" applyFont="1" applyAlignment="1" applyProtection="1">
      <alignment horizontal="left" vertical="center"/>
    </xf>
    <xf numFmtId="0" fontId="28" fillId="0" borderId="1" xfId="0" applyNumberFormat="1" applyFont="1" applyBorder="1" applyAlignment="1">
      <alignment horizontal="center" vertical="center"/>
    </xf>
    <xf numFmtId="0" fontId="28" fillId="0" borderId="1" xfId="0" applyFont="1" applyBorder="1" applyAlignment="1">
      <alignment horizontal="center" vertical="center"/>
    </xf>
    <xf numFmtId="14" fontId="28" fillId="0" borderId="1" xfId="0" applyNumberFormat="1" applyFont="1" applyBorder="1" applyAlignment="1">
      <alignment horizontal="center" vertical="center"/>
    </xf>
    <xf numFmtId="0" fontId="28" fillId="0" borderId="1" xfId="0" applyFont="1" applyBorder="1" applyAlignment="1">
      <alignment vertical="center"/>
    </xf>
    <xf numFmtId="0" fontId="28" fillId="0" borderId="1" xfId="0" applyNumberFormat="1" applyFont="1" applyBorder="1" applyAlignment="1">
      <alignment vertical="center"/>
    </xf>
    <xf numFmtId="0" fontId="23" fillId="0" borderId="0" xfId="0" applyFont="1" applyFill="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5" fillId="2" borderId="32" xfId="0" applyFont="1" applyFill="1" applyBorder="1" applyAlignment="1">
      <alignment horizontal="center" vertical="center"/>
    </xf>
    <xf numFmtId="0" fontId="15" fillId="2" borderId="24" xfId="0" applyFont="1" applyFill="1" applyBorder="1" applyAlignment="1">
      <alignment horizontal="center" vertical="center"/>
    </xf>
    <xf numFmtId="0" fontId="15" fillId="2" borderId="26" xfId="0" applyFont="1" applyFill="1" applyBorder="1" applyAlignment="1">
      <alignment horizontal="center" vertical="center"/>
    </xf>
    <xf numFmtId="181" fontId="1" fillId="0" borderId="32" xfId="2" applyNumberFormat="1" applyFont="1" applyBorder="1" applyAlignment="1">
      <alignment horizontal="left" vertical="center" wrapText="1"/>
    </xf>
    <xf numFmtId="0" fontId="0" fillId="0" borderId="3" xfId="0" applyBorder="1" applyAlignment="1">
      <alignment horizontal="left" vertical="center" wrapText="1"/>
    </xf>
    <xf numFmtId="188" fontId="16" fillId="0" borderId="0" xfId="0" applyNumberFormat="1" applyFont="1" applyAlignment="1">
      <alignment horizontal="left" vertical="center"/>
    </xf>
    <xf numFmtId="0" fontId="28" fillId="0" borderId="2" xfId="0" applyNumberFormat="1" applyFont="1" applyBorder="1" applyAlignment="1">
      <alignment horizontal="center" vertical="center"/>
    </xf>
    <xf numFmtId="0" fontId="28" fillId="0" borderId="3" xfId="0" applyNumberFormat="1" applyFont="1" applyBorder="1" applyAlignment="1">
      <alignment horizontal="center" vertical="center"/>
    </xf>
    <xf numFmtId="14" fontId="28" fillId="0" borderId="2" xfId="0" applyNumberFormat="1" applyFont="1" applyBorder="1" applyAlignment="1">
      <alignment horizontal="center" vertical="center"/>
    </xf>
    <xf numFmtId="0" fontId="28" fillId="0" borderId="32" xfId="0" applyFont="1" applyBorder="1" applyAlignment="1">
      <alignment horizontal="center" vertical="center"/>
    </xf>
    <xf numFmtId="0" fontId="28" fillId="0" borderId="3" xfId="0" applyFont="1" applyBorder="1" applyAlignment="1">
      <alignment horizontal="center" vertical="center"/>
    </xf>
    <xf numFmtId="0" fontId="28" fillId="0" borderId="32" xfId="0" applyNumberFormat="1" applyFont="1" applyBorder="1" applyAlignment="1">
      <alignment horizontal="center" vertical="center"/>
    </xf>
    <xf numFmtId="0" fontId="26" fillId="7" borderId="1" xfId="0" applyFont="1" applyFill="1" applyBorder="1" applyAlignment="1">
      <alignment horizontal="center" vertical="center"/>
    </xf>
    <xf numFmtId="0" fontId="26" fillId="8" borderId="1" xfId="0" applyFont="1" applyFill="1" applyBorder="1" applyAlignment="1">
      <alignment horizontal="center" vertical="center"/>
    </xf>
    <xf numFmtId="0" fontId="0" fillId="0" borderId="1" xfId="0" applyBorder="1" applyAlignment="1">
      <alignment vertical="center"/>
    </xf>
    <xf numFmtId="0" fontId="15" fillId="2" borderId="32" xfId="0" applyFont="1" applyFill="1" applyBorder="1" applyAlignment="1">
      <alignment horizontal="center" vertical="center" wrapText="1"/>
    </xf>
    <xf numFmtId="0" fontId="15" fillId="2" borderId="3" xfId="0" applyFont="1" applyFill="1" applyBorder="1" applyAlignment="1">
      <alignment horizontal="center" vertical="center" wrapText="1"/>
    </xf>
    <xf numFmtId="181" fontId="0" fillId="0" borderId="32" xfId="2" applyNumberFormat="1" applyFont="1" applyBorder="1" applyAlignment="1">
      <alignment horizontal="left" vertical="center" wrapText="1"/>
    </xf>
    <xf numFmtId="184" fontId="4" fillId="0" borderId="27" xfId="0" applyNumberFormat="1" applyFont="1" applyBorder="1" applyAlignment="1" applyProtection="1">
      <alignment horizontal="right" vertical="center"/>
      <protection locked="0"/>
    </xf>
    <xf numFmtId="0" fontId="4" fillId="9" borderId="0" xfId="0" applyFont="1" applyFill="1" applyAlignment="1" applyProtection="1">
      <alignment vertical="center"/>
    </xf>
    <xf numFmtId="0" fontId="7" fillId="10" borderId="0" xfId="0" applyFont="1" applyFill="1" applyAlignment="1" applyProtection="1">
      <alignment horizontal="center" vertical="center"/>
    </xf>
    <xf numFmtId="0" fontId="4" fillId="10" borderId="0" xfId="0" applyFont="1" applyFill="1" applyAlignment="1" applyProtection="1">
      <alignment vertical="center"/>
    </xf>
    <xf numFmtId="14" fontId="7" fillId="10" borderId="0" xfId="0" applyNumberFormat="1" applyFont="1" applyFill="1" applyAlignment="1" applyProtection="1">
      <alignment horizontal="center" vertical="center"/>
    </xf>
    <xf numFmtId="0" fontId="4" fillId="11" borderId="0" xfId="0" applyFont="1" applyFill="1" applyAlignment="1" applyProtection="1">
      <alignment vertical="center"/>
    </xf>
    <xf numFmtId="14" fontId="7" fillId="9" borderId="0" xfId="0" applyNumberFormat="1" applyFont="1" applyFill="1" applyAlignment="1" applyProtection="1">
      <alignment horizontal="center" vertical="center"/>
    </xf>
    <xf numFmtId="0" fontId="7" fillId="9" borderId="0" xfId="0" applyFont="1" applyFill="1" applyAlignment="1" applyProtection="1">
      <alignment horizontal="center" vertical="center"/>
    </xf>
    <xf numFmtId="0" fontId="7" fillId="9" borderId="0" xfId="0" quotePrefix="1" applyFont="1" applyFill="1" applyAlignment="1" applyProtection="1">
      <alignment horizontal="center" vertical="center"/>
    </xf>
    <xf numFmtId="0" fontId="7" fillId="9" borderId="0" xfId="0" applyFont="1" applyFill="1" applyAlignment="1" applyProtection="1">
      <alignment horizontal="left" vertical="center"/>
    </xf>
    <xf numFmtId="0" fontId="31" fillId="0" borderId="0" xfId="0" applyFont="1" applyAlignment="1" applyProtection="1">
      <alignment horizontal="center" vertical="center"/>
    </xf>
    <xf numFmtId="0" fontId="4" fillId="9" borderId="0" xfId="0" quotePrefix="1" applyFont="1" applyFill="1" applyAlignment="1" applyProtection="1">
      <alignment vertical="center"/>
    </xf>
    <xf numFmtId="0" fontId="7" fillId="9" borderId="0" xfId="0" quotePrefix="1" applyFont="1" applyFill="1" applyAlignment="1" applyProtection="1">
      <alignment horizontal="left" vertical="center"/>
    </xf>
    <xf numFmtId="20" fontId="7" fillId="9" borderId="0" xfId="0" applyNumberFormat="1" applyFont="1" applyFill="1" applyAlignment="1" applyProtection="1">
      <alignment horizontal="left" vertical="center"/>
    </xf>
    <xf numFmtId="0" fontId="4" fillId="9" borderId="0" xfId="0" applyFont="1" applyFill="1" applyAlignment="1" applyProtection="1">
      <alignment horizontal="left" vertical="center"/>
    </xf>
    <xf numFmtId="0" fontId="32" fillId="9" borderId="0" xfId="0" applyFont="1" applyFill="1" applyAlignment="1" applyProtection="1">
      <alignment vertical="center"/>
    </xf>
    <xf numFmtId="0" fontId="32" fillId="9" borderId="0" xfId="0" quotePrefix="1" applyFont="1" applyFill="1" applyAlignment="1" applyProtection="1">
      <alignment horizontal="left" vertical="center"/>
    </xf>
  </cellXfs>
  <cellStyles count="3">
    <cellStyle name="スタイル" xfId="1" xr:uid="{00000000-0005-0000-0000-000000000000}"/>
    <cellStyle name="標準" xfId="0" builtinId="0"/>
    <cellStyle name="標準_testCalendar" xfId="2" xr:uid="{00000000-0005-0000-0000-000002000000}"/>
  </cellStyles>
  <dxfs count="41">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val="0"/>
        <i val="0"/>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2</xdr:col>
      <xdr:colOff>260985</xdr:colOff>
      <xdr:row>28</xdr:row>
      <xdr:rowOff>180975</xdr:rowOff>
    </xdr:from>
    <xdr:to>
      <xdr:col>6</xdr:col>
      <xdr:colOff>508582</xdr:colOff>
      <xdr:row>35</xdr:row>
      <xdr:rowOff>36205</xdr:rowOff>
    </xdr:to>
    <xdr:sp macro="" textlink="" fLocksText="0">
      <xdr:nvSpPr>
        <xdr:cNvPr id="85011" name="Rectangle 5">
          <a:extLst>
            <a:ext uri="{FF2B5EF4-FFF2-40B4-BE49-F238E27FC236}">
              <a16:creationId xmlns:a16="http://schemas.microsoft.com/office/drawing/2014/main" id="{FF17B5F1-9F5D-46BC-A543-A83723035A62}"/>
            </a:ext>
          </a:extLst>
        </xdr:cNvPr>
        <xdr:cNvSpPr>
          <a:spLocks noChangeArrowheads="1"/>
        </xdr:cNvSpPr>
      </xdr:nvSpPr>
      <xdr:spPr bwMode="auto">
        <a:xfrm>
          <a:off x="1447800" y="8162925"/>
          <a:ext cx="5162550" cy="1847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18288" rIns="0" bIns="0" anchor="t" upright="1"/>
        <a:lstStyle/>
        <a:p>
          <a:pPr algn="l" rtl="0">
            <a:lnSpc>
              <a:spcPts val="1300"/>
            </a:lnSpc>
            <a:defRPr sz="1000"/>
          </a:pPr>
          <a:r>
            <a:rPr lang="ja-JP" altLang="en-US" sz="1100" b="1" i="0" u="none" strike="noStrike" baseline="0">
              <a:solidFill>
                <a:srgbClr val="000000"/>
              </a:solidFill>
              <a:latin typeface="ＭＳ Ｐゴシック"/>
              <a:ea typeface="ＭＳ Ｐゴシック"/>
            </a:rPr>
            <a:t>注意事項</a:t>
          </a:r>
        </a:p>
        <a:p>
          <a:pPr algn="l" rtl="0">
            <a:lnSpc>
              <a:spcPts val="1300"/>
            </a:lnSpc>
            <a:defRPr sz="1000"/>
          </a:pP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ファイルで</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年度分（</a:t>
          </a:r>
          <a:r>
            <a:rPr lang="en-US" altLang="ja-JP" sz="1100" b="1" i="0" u="none" strike="noStrike" baseline="0">
              <a:solidFill>
                <a:srgbClr val="000000"/>
              </a:solidFill>
              <a:latin typeface="ＭＳ Ｐゴシック"/>
              <a:ea typeface="ＭＳ Ｐゴシック"/>
            </a:rPr>
            <a:t>4</a:t>
          </a:r>
          <a:r>
            <a:rPr lang="ja-JP" altLang="en-US" sz="1100" b="1" i="0" u="none" strike="noStrike" baseline="0">
              <a:solidFill>
                <a:srgbClr val="000000"/>
              </a:solidFill>
              <a:latin typeface="ＭＳ Ｐゴシック"/>
              <a:ea typeface="ＭＳ Ｐゴシック"/>
            </a:rPr>
            <a:t>月～</a:t>
          </a:r>
          <a:r>
            <a:rPr lang="en-US" altLang="ja-JP" sz="1100" b="1" i="0" u="none" strike="noStrike" baseline="0">
              <a:solidFill>
                <a:srgbClr val="000000"/>
              </a:solidFill>
              <a:latin typeface="ＭＳ Ｐゴシック"/>
              <a:ea typeface="ＭＳ Ｐゴシック"/>
            </a:rPr>
            <a:t>3</a:t>
          </a:r>
          <a:r>
            <a:rPr lang="ja-JP" altLang="en-US" sz="1100" b="1" i="0" u="none" strike="noStrike" baseline="0">
              <a:solidFill>
                <a:srgbClr val="000000"/>
              </a:solidFill>
              <a:latin typeface="ＭＳ Ｐゴシック"/>
              <a:ea typeface="ＭＳ Ｐゴシック"/>
            </a:rPr>
            <a:t>月）を管理します。</a:t>
          </a:r>
        </a:p>
        <a:p>
          <a:pPr algn="l" rtl="0">
            <a:lnSpc>
              <a:spcPts val="1300"/>
            </a:lnSpc>
            <a:defRPr sz="1000"/>
          </a:pPr>
          <a:endParaRPr lang="ja-JP" altLang="en-US" sz="1100" b="1" i="0" u="none" strike="noStrike" baseline="0">
            <a:solidFill>
              <a:srgbClr val="000000"/>
            </a:solidFill>
            <a:latin typeface="ＭＳ Ｐゴシック"/>
            <a:ea typeface="ＭＳ Ｐゴシック"/>
          </a:endParaRPr>
        </a:p>
        <a:p>
          <a:pPr algn="l" rtl="0">
            <a:lnSpc>
              <a:spcPts val="1300"/>
            </a:lnSpc>
            <a:defRPr sz="1000"/>
          </a:pPr>
          <a:r>
            <a:rPr lang="ja-JP" altLang="en-US" sz="1100" b="1" i="0" u="none" strike="noStrike" baseline="0">
              <a:solidFill>
                <a:srgbClr val="000000"/>
              </a:solidFill>
              <a:latin typeface="ＭＳ Ｐゴシック"/>
              <a:ea typeface="ＭＳ Ｐゴシック"/>
            </a:rPr>
            <a:t>・開始・終了時間を</a:t>
          </a:r>
          <a:r>
            <a:rPr lang="en-US" altLang="ja-JP" sz="1100" b="1" i="0" u="none" strike="noStrike" baseline="0">
              <a:solidFill>
                <a:srgbClr val="000000"/>
              </a:solidFill>
              <a:latin typeface="ＭＳ Ｐゴシック"/>
              <a:ea typeface="ＭＳ Ｐゴシック"/>
            </a:rPr>
            <a:t>30</a:t>
          </a:r>
          <a:r>
            <a:rPr lang="ja-JP" altLang="en-US" sz="1100" b="1" i="0" u="none" strike="noStrike" baseline="0">
              <a:solidFill>
                <a:srgbClr val="000000"/>
              </a:solidFill>
              <a:latin typeface="ＭＳ Ｐゴシック"/>
              <a:ea typeface="ＭＳ Ｐゴシック"/>
            </a:rPr>
            <a:t>分単位で入力してください。</a:t>
          </a:r>
        </a:p>
        <a:p>
          <a:pPr algn="l" rtl="0">
            <a:lnSpc>
              <a:spcPts val="1300"/>
            </a:lnSpc>
            <a:defRPr sz="1000"/>
          </a:pPr>
          <a:r>
            <a:rPr lang="ja-JP" altLang="en-US" sz="1100" b="1" i="0" u="none" strike="noStrike" baseline="0">
              <a:solidFill>
                <a:srgbClr val="000000"/>
              </a:solidFill>
              <a:latin typeface="ＭＳ Ｐゴシック"/>
              <a:ea typeface="ＭＳ Ｐゴシック"/>
            </a:rPr>
            <a:t>・時間は、必ずしもユーザ提出勤怠と同じである必要はありません。</a:t>
          </a:r>
        </a:p>
        <a:p>
          <a:pPr algn="l" rtl="0">
            <a:defRPr sz="1000"/>
          </a:pPr>
          <a:r>
            <a:rPr lang="ja-JP" altLang="en-US" sz="1100" b="1" i="0" u="none" strike="noStrike" baseline="0">
              <a:solidFill>
                <a:srgbClr val="000000"/>
              </a:solidFill>
              <a:latin typeface="ＭＳ Ｐゴシック"/>
              <a:ea typeface="ＭＳ Ｐゴシック"/>
            </a:rPr>
            <a:t>・全時間の時間数に応じて作業時間が決まり、自動計算されます。</a:t>
          </a:r>
        </a:p>
        <a:p>
          <a:pPr algn="l" rtl="0">
            <a:lnSpc>
              <a:spcPts val="1300"/>
            </a:lnSpc>
            <a:defRPr sz="1000"/>
          </a:pPr>
          <a:r>
            <a:rPr lang="ja-JP" altLang="en-US" sz="1100" b="1" i="0" u="none" strike="noStrike" baseline="0">
              <a:solidFill>
                <a:srgbClr val="000000"/>
              </a:solidFill>
              <a:latin typeface="ＭＳ Ｐゴシック"/>
              <a:ea typeface="ＭＳ Ｐゴシック"/>
            </a:rPr>
            <a:t>・残業時間は　作業時間</a:t>
          </a:r>
          <a:r>
            <a:rPr lang="en-US" altLang="ja-JP" sz="1100" b="1" i="0" u="none" strike="noStrike" baseline="0">
              <a:solidFill>
                <a:srgbClr val="000000"/>
              </a:solidFill>
              <a:latin typeface="ＭＳ Ｐゴシック"/>
              <a:ea typeface="ＭＳ Ｐゴシック"/>
            </a:rPr>
            <a:t>-7.5h</a:t>
          </a:r>
          <a:r>
            <a:rPr lang="ja-JP" altLang="en-US" sz="1100" b="1" i="0" u="none" strike="noStrike" baseline="0">
              <a:solidFill>
                <a:srgbClr val="000000"/>
              </a:solidFill>
              <a:latin typeface="ＭＳ Ｐゴシック"/>
              <a:ea typeface="ＭＳ Ｐゴシック"/>
            </a:rPr>
            <a:t>　で自動計算されます。</a:t>
          </a:r>
        </a:p>
        <a:p>
          <a:pPr algn="l" rtl="0">
            <a:defRPr sz="1000"/>
          </a:pPr>
          <a:endParaRPr lang="ja-JP" altLang="en-US" sz="1100" b="1" i="0" u="none" strike="noStrike" baseline="0">
            <a:solidFill>
              <a:srgbClr val="000000"/>
            </a:solidFill>
            <a:latin typeface="ＭＳ Ｐゴシック"/>
            <a:ea typeface="ＭＳ Ｐゴシック"/>
          </a:endParaRPr>
        </a:p>
        <a:p>
          <a:pPr algn="l" rtl="0">
            <a:lnSpc>
              <a:spcPts val="1200"/>
            </a:lnSpc>
            <a:defRPr sz="1000"/>
          </a:pPr>
          <a:r>
            <a:rPr lang="ja-JP" altLang="en-US" sz="1100" b="1" i="0" u="none" strike="noStrike" baseline="0">
              <a:solidFill>
                <a:srgbClr val="000000"/>
              </a:solidFill>
              <a:latin typeface="ＭＳ Ｐゴシック"/>
              <a:ea typeface="ＭＳ Ｐゴシック"/>
            </a:rPr>
            <a:t>・備考はリストからの選択だけでなく自由に入力可能です。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333375</xdr:colOff>
      <xdr:row>36</xdr:row>
      <xdr:rowOff>163830</xdr:rowOff>
    </xdr:from>
    <xdr:to>
      <xdr:col>11</xdr:col>
      <xdr:colOff>1723788</xdr:colOff>
      <xdr:row>46</xdr:row>
      <xdr:rowOff>76216</xdr:rowOff>
    </xdr:to>
    <xdr:sp macro="" textlink="" fLocksText="0">
      <xdr:nvSpPr>
        <xdr:cNvPr id="22581" name="Rectangle 1">
          <a:extLst>
            <a:ext uri="{FF2B5EF4-FFF2-40B4-BE49-F238E27FC236}">
              <a16:creationId xmlns:a16="http://schemas.microsoft.com/office/drawing/2014/main" id="{813D9AA7-50F2-4A77-8F36-E6B1AB43CAA0}"/>
            </a:ext>
          </a:extLst>
        </xdr:cNvPr>
        <xdr:cNvSpPr>
          <a:spLocks noChangeArrowheads="1"/>
        </xdr:cNvSpPr>
      </xdr:nvSpPr>
      <xdr:spPr bwMode="auto">
        <a:xfrm>
          <a:off x="371475" y="7381875"/>
          <a:ext cx="6296025" cy="18097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18288" rIns="0" bIns="0" anchor="t" upright="1"/>
        <a:lstStyle/>
        <a:p>
          <a:pPr algn="l" rtl="0">
            <a:defRPr sz="1000"/>
          </a:pPr>
          <a:r>
            <a:rPr lang="ja-JP" altLang="en-US" sz="1100" b="1" i="0" u="none" strike="noStrike" baseline="0">
              <a:solidFill>
                <a:srgbClr val="000000"/>
              </a:solidFill>
              <a:latin typeface="ＭＳ Ｐゴシック"/>
              <a:ea typeface="ＭＳ Ｐゴシック"/>
            </a:rPr>
            <a:t>注意事項</a:t>
          </a:r>
        </a:p>
        <a:p>
          <a:pPr algn="l" rtl="0">
            <a:defRPr sz="1000"/>
          </a:pPr>
          <a:endParaRPr lang="ja-JP" altLang="en-US" sz="1100" b="1" i="0" u="none" strike="noStrike" baseline="0">
            <a:solidFill>
              <a:srgbClr val="000000"/>
            </a:solidFill>
            <a:latin typeface="ＭＳ Ｐゴシック"/>
            <a:ea typeface="ＭＳ Ｐゴシック"/>
          </a:endParaRPr>
        </a:p>
        <a:p>
          <a:pPr algn="l" rtl="0">
            <a:lnSpc>
              <a:spcPts val="1300"/>
            </a:lnSpc>
            <a:defRPr sz="1000"/>
          </a:pPr>
          <a:r>
            <a:rPr lang="ja-JP" altLang="en-US" sz="1100" b="1" i="0" u="none" strike="noStrike" baseline="0">
              <a:solidFill>
                <a:srgbClr val="000000"/>
              </a:solidFill>
              <a:latin typeface="ＭＳ Ｐゴシック"/>
              <a:ea typeface="ＭＳ Ｐゴシック"/>
            </a:rPr>
            <a:t>・備考欄には、事由、続柄など必要な事項を記入して下さい。</a:t>
          </a:r>
        </a:p>
        <a:p>
          <a:pPr algn="l" rtl="0">
            <a:lnSpc>
              <a:spcPts val="1300"/>
            </a:lnSpc>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・添付資料が必要な場合は、別途提出して下さい。</a:t>
          </a:r>
        </a:p>
        <a:p>
          <a:pPr algn="l" rtl="0">
            <a:lnSpc>
              <a:spcPts val="1300"/>
            </a:lnSpc>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・事前申請制です。</a:t>
          </a:r>
        </a:p>
        <a:p>
          <a:pPr algn="l" rtl="0">
            <a:lnSpc>
              <a:spcPts val="1200"/>
            </a:lnSpc>
            <a:defRPr sz="1000"/>
          </a:pPr>
          <a:r>
            <a:rPr lang="ja-JP" altLang="en-US" sz="1100" b="1" i="0" u="none" strike="noStrike" baseline="0">
              <a:solidFill>
                <a:srgbClr val="000000"/>
              </a:solidFill>
              <a:latin typeface="ＭＳ Ｐゴシック"/>
              <a:ea typeface="ＭＳ Ｐゴシック"/>
            </a:rPr>
            <a:t>　当該シートに記載の上、ファイルごと提出して下さい。</a:t>
          </a:r>
        </a:p>
        <a:p>
          <a:pPr algn="l" rtl="0">
            <a:lnSpc>
              <a:spcPts val="1200"/>
            </a:lnSpc>
            <a:defRPr sz="1000"/>
          </a:pPr>
          <a:r>
            <a:rPr lang="ja-JP" altLang="en-US" sz="1100" b="1" i="0" u="none" strike="noStrike" baseline="0">
              <a:solidFill>
                <a:srgbClr val="000000"/>
              </a:solidFill>
              <a:latin typeface="ＭＳ Ｐゴシック"/>
              <a:ea typeface="ＭＳ Ｐゴシック"/>
            </a:rPr>
            <a:t>　止むを得ず事前提出できない場合は、後日速やかに提出して下さい。</a:t>
          </a:r>
        </a:p>
        <a:p>
          <a:pPr algn="l" rtl="0">
            <a:defRPr sz="1000"/>
          </a:pPr>
          <a:endParaRPr lang="ja-JP" altLang="en-US" sz="1100" b="1" i="0" u="none" strike="noStrike" baseline="0">
            <a:solidFill>
              <a:srgbClr val="000000"/>
            </a:solidFill>
            <a:latin typeface="ＭＳ Ｐゴシック"/>
            <a:ea typeface="ＭＳ Ｐゴシック"/>
          </a:endParaRPr>
        </a:p>
        <a:p>
          <a:pPr algn="l" rtl="0">
            <a:lnSpc>
              <a:spcPts val="1000"/>
            </a:lnSpc>
            <a:defRPr sz="1000"/>
          </a:pPr>
          <a:endParaRPr lang="ja-JP" altLang="en-US" sz="1100" b="1" i="0" u="none" strike="noStrike" baseline="0">
            <a:solidFill>
              <a:srgbClr val="000000"/>
            </a:solidFill>
            <a:latin typeface="ＭＳ Ｐゴシック"/>
            <a:ea typeface="ＭＳ Ｐゴシック"/>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272415</xdr:colOff>
      <xdr:row>32</xdr:row>
      <xdr:rowOff>85725</xdr:rowOff>
    </xdr:from>
    <xdr:to>
      <xdr:col>10</xdr:col>
      <xdr:colOff>108589</xdr:colOff>
      <xdr:row>42</xdr:row>
      <xdr:rowOff>66675</xdr:rowOff>
    </xdr:to>
    <xdr:sp macro="" textlink="" fLocksText="0">
      <xdr:nvSpPr>
        <xdr:cNvPr id="23588" name="Rectangle 1">
          <a:extLst>
            <a:ext uri="{FF2B5EF4-FFF2-40B4-BE49-F238E27FC236}">
              <a16:creationId xmlns:a16="http://schemas.microsoft.com/office/drawing/2014/main" id="{F814FA4B-8E76-4CE5-A59B-C88F751778FC}"/>
            </a:ext>
          </a:extLst>
        </xdr:cNvPr>
        <xdr:cNvSpPr>
          <a:spLocks noChangeArrowheads="1"/>
        </xdr:cNvSpPr>
      </xdr:nvSpPr>
      <xdr:spPr bwMode="auto">
        <a:xfrm>
          <a:off x="304800" y="6534150"/>
          <a:ext cx="6400800" cy="18859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18288" rIns="0" bIns="0" anchor="t" upright="1"/>
        <a:lstStyle/>
        <a:p>
          <a:pPr algn="l" rtl="0">
            <a:defRPr sz="1000"/>
          </a:pPr>
          <a:r>
            <a:rPr lang="ja-JP" altLang="en-US" sz="1100" b="1" i="0" u="none" strike="noStrike" baseline="0">
              <a:solidFill>
                <a:srgbClr val="000000"/>
              </a:solidFill>
              <a:latin typeface="ＭＳ Ｐゴシック"/>
              <a:ea typeface="ＭＳ Ｐゴシック"/>
            </a:rPr>
            <a:t>注意事項</a:t>
          </a:r>
        </a:p>
        <a:p>
          <a:pPr algn="l" rtl="0">
            <a:defRPr sz="1000"/>
          </a:pPr>
          <a:r>
            <a:rPr lang="ja-JP" altLang="en-US" sz="1100" b="1" i="0" u="none" strike="noStrike" baseline="0">
              <a:solidFill>
                <a:srgbClr val="000000"/>
              </a:solidFill>
              <a:latin typeface="ＭＳ Ｐゴシック"/>
              <a:ea typeface="ＭＳ Ｐゴシック"/>
            </a:rPr>
            <a:t>・振替休日取得前は、状況欄は「予定」として下さい。</a:t>
          </a:r>
        </a:p>
        <a:p>
          <a:pPr algn="l" rtl="0">
            <a:lnSpc>
              <a:spcPts val="1300"/>
            </a:lnSpc>
            <a:defRPr sz="1000"/>
          </a:pPr>
          <a:r>
            <a:rPr lang="ja-JP" altLang="en-US" sz="1100" b="1" i="0" u="none" strike="noStrike" baseline="0">
              <a:solidFill>
                <a:srgbClr val="000000"/>
              </a:solidFill>
              <a:latin typeface="ＭＳ Ｐゴシック"/>
              <a:ea typeface="ＭＳ Ｐゴシック"/>
            </a:rPr>
            <a:t>　取得後には、実績を記入して、状況欄は「消化」として下さい。</a:t>
          </a:r>
        </a:p>
        <a:p>
          <a:pPr algn="l" rtl="0">
            <a:lnSpc>
              <a:spcPts val="1300"/>
            </a:lnSpc>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・備考欄には、理由等を記入して下さい。</a:t>
          </a:r>
        </a:p>
        <a:p>
          <a:pPr algn="l" rtl="0">
            <a:lnSpc>
              <a:spcPts val="1200"/>
            </a:lnSpc>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0.5</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4.0</a:t>
          </a:r>
          <a:r>
            <a:rPr lang="ja-JP" altLang="en-US" sz="1100" b="1" i="0" u="none" strike="noStrike" baseline="0">
              <a:solidFill>
                <a:srgbClr val="000000"/>
              </a:solidFill>
              <a:latin typeface="ＭＳ Ｐゴシック"/>
              <a:ea typeface="ＭＳ Ｐゴシック"/>
            </a:rPr>
            <a:t>時間の振替出勤時は、</a:t>
          </a:r>
          <a:r>
            <a:rPr lang="en-US" altLang="ja-JP" sz="1100" b="1" i="0" u="none" strike="noStrike" baseline="0">
              <a:solidFill>
                <a:srgbClr val="000000"/>
              </a:solidFill>
              <a:latin typeface="ＭＳ Ｐゴシック"/>
              <a:ea typeface="ＭＳ Ｐゴシック"/>
            </a:rPr>
            <a:t>0.5</a:t>
          </a:r>
          <a:r>
            <a:rPr lang="ja-JP" altLang="en-US" sz="1100" b="1" i="0" u="none" strike="noStrike" baseline="0">
              <a:solidFill>
                <a:srgbClr val="000000"/>
              </a:solidFill>
              <a:latin typeface="ＭＳ Ｐゴシック"/>
              <a:ea typeface="ＭＳ Ｐゴシック"/>
            </a:rPr>
            <a:t>日分の振替休日を取得可。</a:t>
          </a:r>
        </a:p>
        <a:p>
          <a:pPr algn="l" rtl="0">
            <a:lnSpc>
              <a:spcPts val="1200"/>
            </a:lnSpc>
            <a:defRPr sz="1000"/>
          </a:pP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4.5</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7.5</a:t>
          </a:r>
          <a:r>
            <a:rPr lang="ja-JP" altLang="en-US" sz="1100" b="1" i="0" u="none" strike="noStrike" baseline="0">
              <a:solidFill>
                <a:srgbClr val="000000"/>
              </a:solidFill>
              <a:latin typeface="ＭＳ Ｐゴシック"/>
              <a:ea typeface="ＭＳ Ｐゴシック"/>
            </a:rPr>
            <a:t>時間の振替出勤時は、</a:t>
          </a:r>
          <a:r>
            <a:rPr lang="en-US" altLang="ja-JP" sz="1100" b="1" i="0" u="none" strike="noStrike" baseline="0">
              <a:solidFill>
                <a:srgbClr val="000000"/>
              </a:solidFill>
              <a:latin typeface="ＭＳ Ｐゴシック"/>
              <a:ea typeface="ＭＳ Ｐゴシック"/>
            </a:rPr>
            <a:t>1.0</a:t>
          </a:r>
          <a:r>
            <a:rPr lang="ja-JP" altLang="en-US" sz="1100" b="1" i="0" u="none" strike="noStrike" baseline="0">
              <a:solidFill>
                <a:srgbClr val="000000"/>
              </a:solidFill>
              <a:latin typeface="ＭＳ Ｐゴシック"/>
              <a:ea typeface="ＭＳ Ｐゴシック"/>
            </a:rPr>
            <a:t>日分の振替休日を取得可。</a:t>
          </a:r>
        </a:p>
        <a:p>
          <a:pPr algn="l" rtl="0">
            <a:lnSpc>
              <a:spcPts val="1300"/>
            </a:lnSpc>
            <a:defRPr sz="1000"/>
          </a:pP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000000"/>
              </a:solidFill>
              <a:latin typeface="ＭＳ Ｐゴシック"/>
              <a:ea typeface="ＭＳ Ｐゴシック"/>
            </a:rPr>
            <a:t>8.0</a:t>
          </a:r>
          <a:r>
            <a:rPr lang="ja-JP" altLang="en-US" sz="1100" b="1" i="0" u="none" strike="noStrike" baseline="0">
              <a:solidFill>
                <a:srgbClr val="000000"/>
              </a:solidFill>
              <a:latin typeface="ＭＳ Ｐゴシック"/>
              <a:ea typeface="ＭＳ Ｐゴシック"/>
            </a:rPr>
            <a:t>時間以上の振替出勤時は、</a:t>
          </a:r>
          <a:r>
            <a:rPr lang="en-US" altLang="ja-JP" sz="1100" b="1" i="0" u="none" strike="noStrike" baseline="0">
              <a:solidFill>
                <a:srgbClr val="000000"/>
              </a:solidFill>
              <a:latin typeface="ＭＳ Ｐゴシック"/>
              <a:ea typeface="ＭＳ Ｐゴシック"/>
            </a:rPr>
            <a:t>1.0</a:t>
          </a:r>
          <a:r>
            <a:rPr lang="ja-JP" altLang="en-US" sz="1100" b="1" i="0" u="none" strike="noStrike" baseline="0">
              <a:solidFill>
                <a:srgbClr val="000000"/>
              </a:solidFill>
              <a:latin typeface="ＭＳ Ｐゴシック"/>
              <a:ea typeface="ＭＳ Ｐゴシック"/>
            </a:rPr>
            <a:t>日分の振替休日を取得可と</a:t>
          </a:r>
        </a:p>
        <a:p>
          <a:pPr algn="l" rtl="0">
            <a:defRPr sz="1000"/>
          </a:pPr>
          <a:r>
            <a:rPr lang="ja-JP" altLang="en-US" sz="1100" b="1" i="0" u="none" strike="noStrike" baseline="0">
              <a:solidFill>
                <a:srgbClr val="000000"/>
              </a:solidFill>
              <a:latin typeface="ＭＳ Ｐゴシック"/>
              <a:ea typeface="ＭＳ Ｐゴシック"/>
            </a:rPr>
            <a:t>残業時間としての加算になります。</a:t>
          </a:r>
        </a:p>
        <a:p>
          <a:pPr algn="l" rtl="0">
            <a:lnSpc>
              <a:spcPts val="1200"/>
            </a:lnSpc>
            <a:defRPr sz="1000"/>
          </a:pPr>
          <a:endParaRPr lang="ja-JP" altLang="en-US" sz="1100" b="1" i="0" u="none" strike="noStrike" baseline="0">
            <a:solidFill>
              <a:srgbClr val="000000"/>
            </a:solidFill>
            <a:latin typeface="ＭＳ Ｐゴシック"/>
            <a:ea typeface="ＭＳ Ｐゴシック"/>
          </a:endParaRPr>
        </a:p>
        <a:p>
          <a:pPr algn="l" rtl="0">
            <a:lnSpc>
              <a:spcPts val="1200"/>
            </a:lnSpc>
            <a:defRPr sz="1000"/>
          </a:pPr>
          <a:endParaRPr lang="ja-JP" altLang="en-US" sz="1100" b="1" i="0" u="none" strike="noStrike" baseline="0">
            <a:solidFill>
              <a:srgbClr val="000000"/>
            </a:solidFill>
            <a:latin typeface="ＭＳ Ｐゴシック"/>
            <a:ea typeface="ＭＳ Ｐゴシック"/>
          </a:endParaRPr>
        </a:p>
      </xdr:txBody>
    </xdr:sp>
    <xdr:clientData/>
  </xdr:twoCellAnchor>
  <xdr:twoCellAnchor>
    <xdr:from>
      <xdr:col>5</xdr:col>
      <xdr:colOff>2025015</xdr:colOff>
      <xdr:row>37</xdr:row>
      <xdr:rowOff>142875</xdr:rowOff>
    </xdr:from>
    <xdr:to>
      <xdr:col>9</xdr:col>
      <xdr:colOff>229969</xdr:colOff>
      <xdr:row>40</xdr:row>
      <xdr:rowOff>163854</xdr:rowOff>
    </xdr:to>
    <xdr:sp macro="" textlink="">
      <xdr:nvSpPr>
        <xdr:cNvPr id="23597" name="Rectangle 45">
          <a:extLst>
            <a:ext uri="{FF2B5EF4-FFF2-40B4-BE49-F238E27FC236}">
              <a16:creationId xmlns:a16="http://schemas.microsoft.com/office/drawing/2014/main" id="{11A9DEB4-F6F1-4FB7-8687-3F2585172C78}"/>
            </a:ext>
          </a:extLst>
        </xdr:cNvPr>
        <xdr:cNvSpPr>
          <a:spLocks noChangeArrowheads="1"/>
        </xdr:cNvSpPr>
      </xdr:nvSpPr>
      <xdr:spPr bwMode="auto">
        <a:xfrm>
          <a:off x="4486275" y="7543800"/>
          <a:ext cx="1933575" cy="600075"/>
        </a:xfrm>
        <a:prstGeom prst="rect">
          <a:avLst/>
        </a:prstGeom>
        <a:solidFill>
          <a:srgbClr val="FFFF00"/>
        </a:solidFill>
        <a:ln w="9525">
          <a:solidFill>
            <a:srgbClr val="000000"/>
          </a:solidFill>
          <a:miter lim="800000"/>
          <a:headEnd/>
          <a:tailEnd/>
        </a:ln>
        <a:effectLst>
          <a:outerShdw dist="35921" dir="2700000" algn="ctr" rotWithShape="0">
            <a:srgbClr val="808080"/>
          </a:outerShdw>
        </a:effec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2011/4/1</a:t>
          </a:r>
          <a:r>
            <a:rPr lang="ja-JP" altLang="en-US" sz="1100" b="0" i="0" u="none" strike="noStrike" baseline="0">
              <a:solidFill>
                <a:srgbClr val="000000"/>
              </a:solidFill>
              <a:latin typeface="ＭＳ Ｐゴシック"/>
              <a:ea typeface="ＭＳ Ｐゴシック"/>
            </a:rPr>
            <a:t>以降が対象です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197224</xdr:colOff>
      <xdr:row>3</xdr:row>
      <xdr:rowOff>26894</xdr:rowOff>
    </xdr:from>
    <xdr:to>
      <xdr:col>12</xdr:col>
      <xdr:colOff>313765</xdr:colOff>
      <xdr:row>7</xdr:row>
      <xdr:rowOff>268941</xdr:rowOff>
    </xdr:to>
    <xdr:sp macro="" textlink="">
      <xdr:nvSpPr>
        <xdr:cNvPr id="3" name="吹き出し: 線 2">
          <a:extLst>
            <a:ext uri="{FF2B5EF4-FFF2-40B4-BE49-F238E27FC236}">
              <a16:creationId xmlns:a16="http://schemas.microsoft.com/office/drawing/2014/main" id="{327E9E0D-4649-45A9-846A-DEC4EC78EABD}"/>
            </a:ext>
          </a:extLst>
        </xdr:cNvPr>
        <xdr:cNvSpPr/>
      </xdr:nvSpPr>
      <xdr:spPr bwMode="auto">
        <a:xfrm>
          <a:off x="7664824" y="699247"/>
          <a:ext cx="2384612" cy="1524000"/>
        </a:xfrm>
        <a:prstGeom prst="borderCallout1">
          <a:avLst>
            <a:gd name="adj1" fmla="val 18750"/>
            <a:gd name="adj2" fmla="val -8333"/>
            <a:gd name="adj3" fmla="val -37401"/>
            <a:gd name="adj4" fmla="val -283558"/>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①月を選択したら、その月のカレンダーが表示される。</a:t>
          </a:r>
          <a:endParaRPr kumimoji="1" lang="en-US" altLang="ja-JP" sz="1100"/>
        </a:p>
        <a:p>
          <a:pPr algn="l"/>
          <a:endParaRPr kumimoji="1" lang="en-US" altLang="ja-JP" sz="1100"/>
        </a:p>
        <a:p>
          <a:pPr algn="l"/>
          <a:r>
            <a:rPr kumimoji="1" lang="ja-JP" altLang="en-US" sz="1100"/>
            <a:t>②その月の情報を</a:t>
          </a:r>
          <a:r>
            <a:rPr kumimoji="1" lang="en-US" altLang="ja-JP" sz="1100"/>
            <a:t>DB</a:t>
          </a:r>
          <a:r>
            <a:rPr kumimoji="1" lang="ja-JP" altLang="en-US" sz="1100"/>
            <a:t>から非同期に取得して登録済みの情報を表示する</a:t>
          </a:r>
          <a:endParaRPr kumimoji="1" lang="en-US" altLang="ja-JP" sz="1100"/>
        </a:p>
        <a:p>
          <a:pPr algn="l"/>
          <a:endParaRPr kumimoji="1" lang="en-US" altLang="ja-JP" sz="1100"/>
        </a:p>
        <a:p>
          <a:pPr algn="l"/>
          <a:r>
            <a:rPr kumimoji="1" lang="ja-JP" altLang="en-US" sz="1100"/>
            <a:t>③初期値は現在の月</a:t>
          </a:r>
          <a:endParaRPr kumimoji="1" lang="en-US" altLang="ja-JP" sz="1100"/>
        </a:p>
      </xdr:txBody>
    </xdr:sp>
    <xdr:clientData/>
  </xdr:twoCellAnchor>
  <xdr:twoCellAnchor>
    <xdr:from>
      <xdr:col>9</xdr:col>
      <xdr:colOff>197224</xdr:colOff>
      <xdr:row>8</xdr:row>
      <xdr:rowOff>107576</xdr:rowOff>
    </xdr:from>
    <xdr:to>
      <xdr:col>12</xdr:col>
      <xdr:colOff>313765</xdr:colOff>
      <xdr:row>12</xdr:row>
      <xdr:rowOff>251012</xdr:rowOff>
    </xdr:to>
    <xdr:sp macro="" textlink="">
      <xdr:nvSpPr>
        <xdr:cNvPr id="4" name="吹き出し: 線 3">
          <a:extLst>
            <a:ext uri="{FF2B5EF4-FFF2-40B4-BE49-F238E27FC236}">
              <a16:creationId xmlns:a16="http://schemas.microsoft.com/office/drawing/2014/main" id="{691EDDB7-DBF1-4C6F-B28F-61450A60A8B2}"/>
            </a:ext>
          </a:extLst>
        </xdr:cNvPr>
        <xdr:cNvSpPr/>
      </xdr:nvSpPr>
      <xdr:spPr bwMode="auto">
        <a:xfrm>
          <a:off x="7664824" y="2339788"/>
          <a:ext cx="2384612" cy="1255059"/>
        </a:xfrm>
        <a:prstGeom prst="borderCallout1">
          <a:avLst>
            <a:gd name="adj1" fmla="val 18750"/>
            <a:gd name="adj2" fmla="val -8333"/>
            <a:gd name="adj3" fmla="val -15751"/>
            <a:gd name="adj4" fmla="val -157995"/>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①祝日の場合は「祝日」を表示</a:t>
          </a:r>
          <a:endParaRPr kumimoji="1" lang="en-US" altLang="ja-JP" sz="1100"/>
        </a:p>
        <a:p>
          <a:pPr algn="l"/>
          <a:r>
            <a:rPr kumimoji="1" lang="ja-JP" altLang="en-US" sz="1100"/>
            <a:t>②フォントカラーは赤</a:t>
          </a:r>
          <a:endParaRPr kumimoji="1" lang="en-US" altLang="ja-JP" sz="1100"/>
        </a:p>
        <a:p>
          <a:pPr algn="l"/>
          <a:r>
            <a:rPr kumimoji="1" lang="ja-JP" altLang="en-US" sz="1100"/>
            <a:t>③セレクトメニューが表示される。内容は定数参照</a:t>
          </a:r>
          <a:endParaRPr kumimoji="1" lang="en-US" altLang="ja-JP" sz="1100"/>
        </a:p>
        <a:p>
          <a:pPr algn="l"/>
          <a:r>
            <a:rPr kumimoji="1" lang="ja-JP" altLang="en-US" sz="1100"/>
            <a:t>④テキスト入力ができる</a:t>
          </a:r>
          <a:endParaRPr kumimoji="1" lang="en-US" altLang="ja-JP" sz="1100"/>
        </a:p>
      </xdr:txBody>
    </xdr:sp>
    <xdr:clientData/>
  </xdr:twoCellAnchor>
  <xdr:twoCellAnchor>
    <xdr:from>
      <xdr:col>9</xdr:col>
      <xdr:colOff>197224</xdr:colOff>
      <xdr:row>14</xdr:row>
      <xdr:rowOff>0</xdr:rowOff>
    </xdr:from>
    <xdr:to>
      <xdr:col>12</xdr:col>
      <xdr:colOff>313765</xdr:colOff>
      <xdr:row>16</xdr:row>
      <xdr:rowOff>89647</xdr:rowOff>
    </xdr:to>
    <xdr:sp macro="" textlink="">
      <xdr:nvSpPr>
        <xdr:cNvPr id="5" name="吹き出し: 線 4">
          <a:extLst>
            <a:ext uri="{FF2B5EF4-FFF2-40B4-BE49-F238E27FC236}">
              <a16:creationId xmlns:a16="http://schemas.microsoft.com/office/drawing/2014/main" id="{94D6DC51-EFC4-4A66-A5C4-D8636069B5D9}"/>
            </a:ext>
          </a:extLst>
        </xdr:cNvPr>
        <xdr:cNvSpPr/>
      </xdr:nvSpPr>
      <xdr:spPr bwMode="auto">
        <a:xfrm>
          <a:off x="7664824" y="3899647"/>
          <a:ext cx="2384612" cy="645459"/>
        </a:xfrm>
        <a:prstGeom prst="borderCallout1">
          <a:avLst>
            <a:gd name="adj1" fmla="val 18750"/>
            <a:gd name="adj2" fmla="val -8333"/>
            <a:gd name="adj3" fmla="val -146029"/>
            <a:gd name="adj4" fmla="val -280926"/>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①祝日、土日はフォントカラーは赤</a:t>
          </a:r>
          <a:endParaRPr kumimoji="1" lang="en-US" altLang="ja-JP" sz="1100"/>
        </a:p>
      </xdr:txBody>
    </xdr:sp>
    <xdr:clientData/>
  </xdr:twoCellAnchor>
  <xdr:twoCellAnchor>
    <xdr:from>
      <xdr:col>9</xdr:col>
      <xdr:colOff>197224</xdr:colOff>
      <xdr:row>17</xdr:row>
      <xdr:rowOff>44823</xdr:rowOff>
    </xdr:from>
    <xdr:to>
      <xdr:col>12</xdr:col>
      <xdr:colOff>313765</xdr:colOff>
      <xdr:row>21</xdr:row>
      <xdr:rowOff>53788</xdr:rowOff>
    </xdr:to>
    <xdr:sp macro="" textlink="">
      <xdr:nvSpPr>
        <xdr:cNvPr id="6" name="吹き出し: 線 5">
          <a:extLst>
            <a:ext uri="{FF2B5EF4-FFF2-40B4-BE49-F238E27FC236}">
              <a16:creationId xmlns:a16="http://schemas.microsoft.com/office/drawing/2014/main" id="{5F2D214F-F6A4-486B-AD90-F78CAF7390BF}"/>
            </a:ext>
          </a:extLst>
        </xdr:cNvPr>
        <xdr:cNvSpPr/>
      </xdr:nvSpPr>
      <xdr:spPr bwMode="auto">
        <a:xfrm>
          <a:off x="7664824" y="4778188"/>
          <a:ext cx="2384612" cy="1120588"/>
        </a:xfrm>
        <a:prstGeom prst="borderCallout1">
          <a:avLst>
            <a:gd name="adj1" fmla="val 18750"/>
            <a:gd name="adj2" fmla="val -8333"/>
            <a:gd name="adj3" fmla="val -98851"/>
            <a:gd name="adj4" fmla="val -215889"/>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①その場で入力・編集ができる</a:t>
          </a:r>
          <a:endParaRPr kumimoji="1" lang="en-US" altLang="ja-JP" sz="1100"/>
        </a:p>
        <a:p>
          <a:pPr algn="l"/>
          <a:r>
            <a:rPr kumimoji="1" lang="ja-JP" altLang="en-US" sz="1100"/>
            <a:t>②非同期で</a:t>
          </a:r>
          <a:r>
            <a:rPr kumimoji="1" lang="en-US" altLang="ja-JP" sz="1100"/>
            <a:t>DB</a:t>
          </a:r>
          <a:r>
            <a:rPr kumimoji="1" lang="ja-JP" altLang="en-US" sz="1100"/>
            <a:t>に登録する</a:t>
          </a:r>
          <a:endParaRPr kumimoji="1" lang="en-US" altLang="ja-JP" sz="1100"/>
        </a:p>
        <a:p>
          <a:pPr algn="l"/>
          <a:r>
            <a:rPr kumimoji="1" lang="ja-JP" altLang="en-US" sz="1100"/>
            <a:t>③その月にすでに入力がある場合は、別の日に新しく入力する場合は自動入力ができるようにする</a:t>
          </a:r>
          <a:endParaRPr kumimoji="1" lang="en-US" altLang="ja-JP" sz="1100"/>
        </a:p>
      </xdr:txBody>
    </xdr:sp>
    <xdr:clientData/>
  </xdr:twoCellAnchor>
  <xdr:twoCellAnchor>
    <xdr:from>
      <xdr:col>9</xdr:col>
      <xdr:colOff>197224</xdr:colOff>
      <xdr:row>35</xdr:row>
      <xdr:rowOff>-1</xdr:rowOff>
    </xdr:from>
    <xdr:to>
      <xdr:col>12</xdr:col>
      <xdr:colOff>313765</xdr:colOff>
      <xdr:row>36</xdr:row>
      <xdr:rowOff>125506</xdr:rowOff>
    </xdr:to>
    <xdr:sp macro="" textlink="">
      <xdr:nvSpPr>
        <xdr:cNvPr id="7" name="吹き出し: 線 6">
          <a:extLst>
            <a:ext uri="{FF2B5EF4-FFF2-40B4-BE49-F238E27FC236}">
              <a16:creationId xmlns:a16="http://schemas.microsoft.com/office/drawing/2014/main" id="{4E4D3607-2B6F-46F8-93BC-2B4339175EE2}"/>
            </a:ext>
          </a:extLst>
        </xdr:cNvPr>
        <xdr:cNvSpPr/>
      </xdr:nvSpPr>
      <xdr:spPr bwMode="auto">
        <a:xfrm>
          <a:off x="7664824" y="9735670"/>
          <a:ext cx="2384612" cy="403412"/>
        </a:xfrm>
        <a:prstGeom prst="borderCallout1">
          <a:avLst>
            <a:gd name="adj1" fmla="val 18750"/>
            <a:gd name="adj2" fmla="val -8333"/>
            <a:gd name="adj3" fmla="val 215460"/>
            <a:gd name="adj4" fmla="val -127167"/>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①入力されている日数をカウント</a:t>
          </a:r>
          <a:endParaRPr kumimoji="1" lang="en-US" altLang="ja-JP" sz="1100"/>
        </a:p>
      </xdr:txBody>
    </xdr:sp>
    <xdr:clientData/>
  </xdr:twoCellAnchor>
  <xdr:twoCellAnchor>
    <xdr:from>
      <xdr:col>9</xdr:col>
      <xdr:colOff>215155</xdr:colOff>
      <xdr:row>38</xdr:row>
      <xdr:rowOff>259976</xdr:rowOff>
    </xdr:from>
    <xdr:to>
      <xdr:col>12</xdr:col>
      <xdr:colOff>331696</xdr:colOff>
      <xdr:row>40</xdr:row>
      <xdr:rowOff>152400</xdr:rowOff>
    </xdr:to>
    <xdr:sp macro="" textlink="">
      <xdr:nvSpPr>
        <xdr:cNvPr id="8" name="吹き出し: 線 7">
          <a:extLst>
            <a:ext uri="{FF2B5EF4-FFF2-40B4-BE49-F238E27FC236}">
              <a16:creationId xmlns:a16="http://schemas.microsoft.com/office/drawing/2014/main" id="{EFC62320-C3CB-487F-B9B3-53E6347293FE}"/>
            </a:ext>
          </a:extLst>
        </xdr:cNvPr>
        <xdr:cNvSpPr/>
      </xdr:nvSpPr>
      <xdr:spPr bwMode="auto">
        <a:xfrm>
          <a:off x="7682755" y="10829364"/>
          <a:ext cx="2384612" cy="403412"/>
        </a:xfrm>
        <a:prstGeom prst="borderCallout1">
          <a:avLst>
            <a:gd name="adj1" fmla="val 18750"/>
            <a:gd name="adj2" fmla="val -8333"/>
            <a:gd name="adj3" fmla="val 2126"/>
            <a:gd name="adj4" fmla="val -28671"/>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ja-JP" altLang="en-US" sz="1100"/>
            <a:t>①同カラムの集計</a:t>
          </a:r>
          <a:endParaRPr kumimoji="1" lang="en-US" altLang="ja-JP" sz="1100"/>
        </a:p>
      </xdr:txBody>
    </xdr:sp>
    <xdr:clientData/>
  </xdr:twoCellAnchor>
  <xdr:twoCellAnchor>
    <xdr:from>
      <xdr:col>5</xdr:col>
      <xdr:colOff>636494</xdr:colOff>
      <xdr:row>38</xdr:row>
      <xdr:rowOff>53788</xdr:rowOff>
    </xdr:from>
    <xdr:to>
      <xdr:col>8</xdr:col>
      <xdr:colOff>618564</xdr:colOff>
      <xdr:row>38</xdr:row>
      <xdr:rowOff>268941</xdr:rowOff>
    </xdr:to>
    <xdr:sp macro="" textlink="">
      <xdr:nvSpPr>
        <xdr:cNvPr id="11" name="正方形/長方形 10">
          <a:extLst>
            <a:ext uri="{FF2B5EF4-FFF2-40B4-BE49-F238E27FC236}">
              <a16:creationId xmlns:a16="http://schemas.microsoft.com/office/drawing/2014/main" id="{7C3C13CF-65BF-4B8F-BA78-416F264B74E5}"/>
            </a:ext>
          </a:extLst>
        </xdr:cNvPr>
        <xdr:cNvSpPr/>
      </xdr:nvSpPr>
      <xdr:spPr bwMode="auto">
        <a:xfrm>
          <a:off x="5450541" y="10623176"/>
          <a:ext cx="1972235" cy="215153"/>
        </a:xfrm>
        <a:prstGeom prst="rect">
          <a:avLst/>
        </a:prstGeom>
        <a:no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l"/>
          <a:endParaRPr kumimoji="1" lang="ja-JP" altLang="en-US" sz="1100"/>
        </a:p>
      </xdr:txBody>
    </xdr:sp>
    <xdr:clientData/>
  </xdr:twoCellAnchor>
  <xdr:twoCellAnchor>
    <xdr:from>
      <xdr:col>18</xdr:col>
      <xdr:colOff>268941</xdr:colOff>
      <xdr:row>14</xdr:row>
      <xdr:rowOff>224118</xdr:rowOff>
    </xdr:from>
    <xdr:to>
      <xdr:col>18</xdr:col>
      <xdr:colOff>268941</xdr:colOff>
      <xdr:row>16</xdr:row>
      <xdr:rowOff>53788</xdr:rowOff>
    </xdr:to>
    <xdr:cxnSp macro="">
      <xdr:nvCxnSpPr>
        <xdr:cNvPr id="9" name="直線コネクタ 8">
          <a:extLst>
            <a:ext uri="{FF2B5EF4-FFF2-40B4-BE49-F238E27FC236}">
              <a16:creationId xmlns:a16="http://schemas.microsoft.com/office/drawing/2014/main" id="{05872060-F445-4CF5-9852-8A754322B67F}"/>
            </a:ext>
          </a:extLst>
        </xdr:cNvPr>
        <xdr:cNvCxnSpPr/>
      </xdr:nvCxnSpPr>
      <xdr:spPr bwMode="auto">
        <a:xfrm>
          <a:off x="13769788" y="4123765"/>
          <a:ext cx="0" cy="385482"/>
        </a:xfrm>
        <a:prstGeom prst="line">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cxnSp>
    <xdr:clientData/>
  </xdr:twoCellAnchor>
  <xdr:twoCellAnchor>
    <xdr:from>
      <xdr:col>12</xdr:col>
      <xdr:colOff>107576</xdr:colOff>
      <xdr:row>8</xdr:row>
      <xdr:rowOff>170328</xdr:rowOff>
    </xdr:from>
    <xdr:to>
      <xdr:col>13</xdr:col>
      <xdr:colOff>8965</xdr:colOff>
      <xdr:row>29</xdr:row>
      <xdr:rowOff>161364</xdr:rowOff>
    </xdr:to>
    <xdr:sp macro="" textlink="">
      <xdr:nvSpPr>
        <xdr:cNvPr id="10" name="フリーフォーム: 図形 9">
          <a:extLst>
            <a:ext uri="{FF2B5EF4-FFF2-40B4-BE49-F238E27FC236}">
              <a16:creationId xmlns:a16="http://schemas.microsoft.com/office/drawing/2014/main" id="{5528E0F0-6E8A-4A38-80A7-E48D30CF922E}"/>
            </a:ext>
          </a:extLst>
        </xdr:cNvPr>
        <xdr:cNvSpPr/>
      </xdr:nvSpPr>
      <xdr:spPr bwMode="auto">
        <a:xfrm>
          <a:off x="9843247" y="2402540"/>
          <a:ext cx="546847" cy="5827059"/>
        </a:xfrm>
        <a:custGeom>
          <a:avLst/>
          <a:gdLst>
            <a:gd name="connsiteX0" fmla="*/ 537882 w 546847"/>
            <a:gd name="connsiteY0" fmla="*/ 5253318 h 5253318"/>
            <a:gd name="connsiteX1" fmla="*/ 0 w 546847"/>
            <a:gd name="connsiteY1" fmla="*/ 5253318 h 5253318"/>
            <a:gd name="connsiteX2" fmla="*/ 0 w 546847"/>
            <a:gd name="connsiteY2" fmla="*/ 0 h 5253318"/>
            <a:gd name="connsiteX3" fmla="*/ 546847 w 546847"/>
            <a:gd name="connsiteY3" fmla="*/ 0 h 5253318"/>
          </a:gdLst>
          <a:ahLst/>
          <a:cxnLst>
            <a:cxn ang="0">
              <a:pos x="connsiteX0" y="connsiteY0"/>
            </a:cxn>
            <a:cxn ang="0">
              <a:pos x="connsiteX1" y="connsiteY1"/>
            </a:cxn>
            <a:cxn ang="0">
              <a:pos x="connsiteX2" y="connsiteY2"/>
            </a:cxn>
            <a:cxn ang="0">
              <a:pos x="connsiteX3" y="connsiteY3"/>
            </a:cxn>
          </a:cxnLst>
          <a:rect l="l" t="t" r="r" b="b"/>
          <a:pathLst>
            <a:path w="546847" h="5253318">
              <a:moveTo>
                <a:pt x="537882" y="5253318"/>
              </a:moveTo>
              <a:lnTo>
                <a:pt x="0" y="5253318"/>
              </a:lnTo>
              <a:lnTo>
                <a:pt x="0" y="0"/>
              </a:lnTo>
              <a:lnTo>
                <a:pt x="546847" y="0"/>
              </a:lnTo>
            </a:path>
          </a:pathLst>
        </a:custGeom>
        <a:ln w="57150">
          <a:headEnd type="none" w="med" len="med"/>
          <a:tailEnd type="none" w="med" len="med"/>
        </a:ln>
      </xdr:spPr>
      <xdr:style>
        <a:lnRef idx="1">
          <a:schemeClr val="accent2"/>
        </a:lnRef>
        <a:fillRef idx="0">
          <a:schemeClr val="accent2"/>
        </a:fillRef>
        <a:effectRef idx="0">
          <a:schemeClr val="accent2"/>
        </a:effectRef>
        <a:fontRef idx="minor">
          <a:schemeClr val="tx1"/>
        </a:fontRef>
      </xdr:style>
      <xdr:txBody>
        <a:bodyPr vertOverflow="clip" wrap="square" lIns="18288" tIns="0" rIns="0" bIns="0" rtlCol="0" anchor="ctr" upright="1"/>
        <a:lstStyle/>
        <a:p>
          <a:pPr algn="l"/>
          <a:endParaRPr kumimoji="1" lang="ja-JP" altLang="en-US" sz="1100"/>
        </a:p>
      </xdr:txBody>
    </xdr:sp>
    <xdr:clientData/>
  </xdr:twoCellAnchor>
  <xdr:twoCellAnchor>
    <xdr:from>
      <xdr:col>18</xdr:col>
      <xdr:colOff>44824</xdr:colOff>
      <xdr:row>14</xdr:row>
      <xdr:rowOff>116541</xdr:rowOff>
    </xdr:from>
    <xdr:to>
      <xdr:col>21</xdr:col>
      <xdr:colOff>8965</xdr:colOff>
      <xdr:row>15</xdr:row>
      <xdr:rowOff>134471</xdr:rowOff>
    </xdr:to>
    <xdr:sp macro="" textlink="">
      <xdr:nvSpPr>
        <xdr:cNvPr id="12" name="フリーフォーム: 図形 11">
          <a:extLst>
            <a:ext uri="{FF2B5EF4-FFF2-40B4-BE49-F238E27FC236}">
              <a16:creationId xmlns:a16="http://schemas.microsoft.com/office/drawing/2014/main" id="{FB2D001A-49B8-41A7-88AD-D8B9BF46907E}"/>
            </a:ext>
          </a:extLst>
        </xdr:cNvPr>
        <xdr:cNvSpPr/>
      </xdr:nvSpPr>
      <xdr:spPr bwMode="auto">
        <a:xfrm>
          <a:off x="13545671" y="4016188"/>
          <a:ext cx="1819835" cy="295836"/>
        </a:xfrm>
        <a:custGeom>
          <a:avLst/>
          <a:gdLst>
            <a:gd name="connsiteX0" fmla="*/ 0 w 1819835"/>
            <a:gd name="connsiteY0" fmla="*/ 295836 h 295836"/>
            <a:gd name="connsiteX1" fmla="*/ 1353670 w 1819835"/>
            <a:gd name="connsiteY1" fmla="*/ 295836 h 295836"/>
            <a:gd name="connsiteX2" fmla="*/ 1353670 w 1819835"/>
            <a:gd name="connsiteY2" fmla="*/ 0 h 295836"/>
            <a:gd name="connsiteX3" fmla="*/ 1819835 w 1819835"/>
            <a:gd name="connsiteY3" fmla="*/ 0 h 295836"/>
          </a:gdLst>
          <a:ahLst/>
          <a:cxnLst>
            <a:cxn ang="0">
              <a:pos x="connsiteX0" y="connsiteY0"/>
            </a:cxn>
            <a:cxn ang="0">
              <a:pos x="connsiteX1" y="connsiteY1"/>
            </a:cxn>
            <a:cxn ang="0">
              <a:pos x="connsiteX2" y="connsiteY2"/>
            </a:cxn>
            <a:cxn ang="0">
              <a:pos x="connsiteX3" y="connsiteY3"/>
            </a:cxn>
          </a:cxnLst>
          <a:rect l="l" t="t" r="r" b="b"/>
          <a:pathLst>
            <a:path w="1819835" h="295836">
              <a:moveTo>
                <a:pt x="0" y="295836"/>
              </a:moveTo>
              <a:lnTo>
                <a:pt x="1353670" y="295836"/>
              </a:lnTo>
              <a:lnTo>
                <a:pt x="1353670" y="0"/>
              </a:lnTo>
              <a:lnTo>
                <a:pt x="1819835" y="0"/>
              </a:lnTo>
            </a:path>
          </a:pathLst>
        </a:custGeom>
        <a:ln w="57150">
          <a:headEnd type="none" w="med" len="med"/>
          <a:tailEnd type="none" w="med" len="med"/>
        </a:ln>
      </xdr:spPr>
      <xdr:style>
        <a:lnRef idx="1">
          <a:schemeClr val="accent2"/>
        </a:lnRef>
        <a:fillRef idx="0">
          <a:schemeClr val="accent2"/>
        </a:fillRef>
        <a:effectRef idx="0">
          <a:schemeClr val="accent2"/>
        </a:effectRef>
        <a:fontRef idx="minor">
          <a:schemeClr val="tx1"/>
        </a:fontRef>
      </xdr:style>
      <xdr:txBody>
        <a:bodyPr vertOverflow="clip" wrap="square" lIns="18288" tIns="0" rIns="0" bIns="0" rtlCol="0" anchor="ctr" upright="1"/>
        <a:lstStyle/>
        <a:p>
          <a:pPr algn="l"/>
          <a:endParaRPr kumimoji="1" lang="ja-JP" altLang="en-US" sz="1100"/>
        </a:p>
      </xdr:txBody>
    </xdr:sp>
    <xdr:clientData/>
  </xdr:twoCellAnchor>
  <xdr:twoCellAnchor>
    <xdr:from>
      <xdr:col>9</xdr:col>
      <xdr:colOff>233084</xdr:colOff>
      <xdr:row>22</xdr:row>
      <xdr:rowOff>116542</xdr:rowOff>
    </xdr:from>
    <xdr:to>
      <xdr:col>12</xdr:col>
      <xdr:colOff>349625</xdr:colOff>
      <xdr:row>26</xdr:row>
      <xdr:rowOff>125506</xdr:rowOff>
    </xdr:to>
    <xdr:sp macro="" textlink="">
      <xdr:nvSpPr>
        <xdr:cNvPr id="13" name="吹き出し: 線 12">
          <a:extLst>
            <a:ext uri="{FF2B5EF4-FFF2-40B4-BE49-F238E27FC236}">
              <a16:creationId xmlns:a16="http://schemas.microsoft.com/office/drawing/2014/main" id="{F1F840F9-010C-441B-946C-F96DA6E5BEF7}"/>
            </a:ext>
          </a:extLst>
        </xdr:cNvPr>
        <xdr:cNvSpPr/>
      </xdr:nvSpPr>
      <xdr:spPr bwMode="auto">
        <a:xfrm>
          <a:off x="7700684" y="6239436"/>
          <a:ext cx="2384612" cy="1120588"/>
        </a:xfrm>
        <a:prstGeom prst="borderCallout1">
          <a:avLst>
            <a:gd name="adj1" fmla="val 19550"/>
            <a:gd name="adj2" fmla="val -4574"/>
            <a:gd name="adj3" fmla="val -37251"/>
            <a:gd name="adj4" fmla="val -39197"/>
          </a:avLst>
        </a:pr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xdr:spPr>
      <xdr:txBody>
        <a:bodyPr vertOverflow="clip" wrap="square" lIns="18288" tIns="0" rIns="0" bIns="0" rtlCol="0" anchor="ctr" upright="1"/>
        <a:lstStyle/>
        <a:p>
          <a:pPr algn="l"/>
          <a:r>
            <a:rPr kumimoji="1" lang="en-US" altLang="ja-JP" sz="1100"/>
            <a:t>javascript</a:t>
          </a:r>
        </a:p>
        <a:p>
          <a:pPr algn="l"/>
          <a:r>
            <a:rPr kumimoji="1" lang="ja-JP" altLang="en-US" sz="1100"/>
            <a:t>①開始時間、終了時間が</a:t>
          </a:r>
          <a:r>
            <a:rPr kumimoji="1" lang="en-US" altLang="ja-JP" sz="1100"/>
            <a:t>blur</a:t>
          </a:r>
          <a:r>
            <a:rPr kumimoji="1" lang="ja-JP" altLang="en-US" sz="1100"/>
            <a:t>した計算</a:t>
          </a:r>
          <a:endParaRPr kumimoji="1" lang="en-US" altLang="ja-JP" sz="1100"/>
        </a:p>
        <a:p>
          <a:pPr algn="l"/>
          <a:r>
            <a:rPr kumimoji="1" lang="ja-JP" altLang="en-US" sz="1100"/>
            <a:t>②直接編集することもできる</a:t>
          </a:r>
          <a:endParaRPr kumimoji="1" lang="en-US" altLang="ja-JP" sz="1100"/>
        </a:p>
      </xdr:txBody>
    </xdr:sp>
    <xdr:clientData/>
  </xdr:twoCellAnchor>
  <xdr:twoCellAnchor>
    <xdr:from>
      <xdr:col>6</xdr:col>
      <xdr:colOff>53789</xdr:colOff>
      <xdr:row>20</xdr:row>
      <xdr:rowOff>26894</xdr:rowOff>
    </xdr:from>
    <xdr:to>
      <xdr:col>8</xdr:col>
      <xdr:colOff>618564</xdr:colOff>
      <xdr:row>20</xdr:row>
      <xdr:rowOff>224118</xdr:rowOff>
    </xdr:to>
    <xdr:sp macro="" textlink="">
      <xdr:nvSpPr>
        <xdr:cNvPr id="14" name="正方形/長方形 13">
          <a:extLst>
            <a:ext uri="{FF2B5EF4-FFF2-40B4-BE49-F238E27FC236}">
              <a16:creationId xmlns:a16="http://schemas.microsoft.com/office/drawing/2014/main" id="{4FAE73B9-E058-45D6-85D2-4FFFE444B45E}"/>
            </a:ext>
          </a:extLst>
        </xdr:cNvPr>
        <xdr:cNvSpPr/>
      </xdr:nvSpPr>
      <xdr:spPr bwMode="auto">
        <a:xfrm>
          <a:off x="5531224" y="5593976"/>
          <a:ext cx="1891552" cy="197224"/>
        </a:xfrm>
        <a:prstGeom prst="rect">
          <a:avLst/>
        </a:prstGeom>
        <a:noFill/>
        <a:ln>
          <a:solidFill>
            <a:srgbClr val="FF000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l"/>
          <a:endParaRPr kumimoji="1" lang="ja-JP" altLang="en-US" sz="1100"/>
        </a:p>
      </xdr:txBody>
    </xdr:sp>
    <xdr:clientData/>
  </xdr:twoCellAnchor>
  <xdr:twoCellAnchor>
    <xdr:from>
      <xdr:col>14</xdr:col>
      <xdr:colOff>448235</xdr:colOff>
      <xdr:row>35</xdr:row>
      <xdr:rowOff>197223</xdr:rowOff>
    </xdr:from>
    <xdr:to>
      <xdr:col>19</xdr:col>
      <xdr:colOff>349624</xdr:colOff>
      <xdr:row>56</xdr:row>
      <xdr:rowOff>44824</xdr:rowOff>
    </xdr:to>
    <xdr:sp macro="" textlink="">
      <xdr:nvSpPr>
        <xdr:cNvPr id="15" name="テキスト ボックス 14">
          <a:extLst>
            <a:ext uri="{FF2B5EF4-FFF2-40B4-BE49-F238E27FC236}">
              <a16:creationId xmlns:a16="http://schemas.microsoft.com/office/drawing/2014/main" id="{18915B32-9E49-430D-9277-843389B94CD3}"/>
            </a:ext>
          </a:extLst>
        </xdr:cNvPr>
        <xdr:cNvSpPr txBox="1"/>
      </xdr:nvSpPr>
      <xdr:spPr>
        <a:xfrm>
          <a:off x="11672047" y="9932894"/>
          <a:ext cx="3630706" cy="4007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休憩時間の計算</a:t>
          </a:r>
          <a:endParaRPr kumimoji="1" lang="en-US" altLang="ja-JP" sz="1100"/>
        </a:p>
        <a:p>
          <a:r>
            <a:rPr kumimoji="1" lang="en-US" altLang="ja-JP" sz="1100"/>
            <a:t>Public Function </a:t>
          </a:r>
          <a:r>
            <a:rPr kumimoji="1" lang="ja-JP" altLang="en-US" sz="1100"/>
            <a:t>休憩時間</a:t>
          </a:r>
          <a:r>
            <a:rPr kumimoji="1" lang="en-US" altLang="ja-JP" sz="1100"/>
            <a:t>(</a:t>
          </a:r>
          <a:r>
            <a:rPr kumimoji="1" lang="ja-JP" altLang="en-US" sz="1100"/>
            <a:t>全時間 </a:t>
          </a:r>
          <a:r>
            <a:rPr kumimoji="1" lang="en-US" altLang="ja-JP" sz="1100"/>
            <a:t>As Single) As Single</a:t>
          </a:r>
        </a:p>
        <a:p>
          <a:r>
            <a:rPr kumimoji="1" lang="en-US" altLang="ja-JP" sz="1100"/>
            <a:t>    If </a:t>
          </a:r>
          <a:r>
            <a:rPr kumimoji="1" lang="ja-JP" altLang="en-US" sz="1100"/>
            <a:t>全時間 </a:t>
          </a:r>
          <a:r>
            <a:rPr kumimoji="1" lang="en-US" altLang="ja-JP" sz="1100"/>
            <a:t>&lt;= 4.5 Then</a:t>
          </a:r>
        </a:p>
        <a:p>
          <a:r>
            <a:rPr kumimoji="1" lang="en-US" altLang="ja-JP" sz="1100"/>
            <a:t>        </a:t>
          </a:r>
          <a:r>
            <a:rPr kumimoji="1" lang="ja-JP" altLang="en-US" sz="1100"/>
            <a:t>休憩時間 </a:t>
          </a:r>
          <a:r>
            <a:rPr kumimoji="1" lang="en-US" altLang="ja-JP" sz="1100"/>
            <a:t>= 0</a:t>
          </a:r>
        </a:p>
        <a:p>
          <a:r>
            <a:rPr kumimoji="1" lang="en-US" altLang="ja-JP" sz="1100"/>
            <a:t>        Exit Function</a:t>
          </a:r>
        </a:p>
        <a:p>
          <a:r>
            <a:rPr kumimoji="1" lang="en-US" altLang="ja-JP" sz="1100"/>
            <a:t>    ElseIf </a:t>
          </a:r>
          <a:r>
            <a:rPr kumimoji="1" lang="ja-JP" altLang="en-US" sz="1100"/>
            <a:t>全時間 </a:t>
          </a:r>
          <a:r>
            <a:rPr kumimoji="1" lang="en-US" altLang="ja-JP" sz="1100"/>
            <a:t>= 5# Then</a:t>
          </a:r>
        </a:p>
        <a:p>
          <a:r>
            <a:rPr kumimoji="1" lang="en-US" altLang="ja-JP" sz="1100"/>
            <a:t>        </a:t>
          </a:r>
          <a:r>
            <a:rPr kumimoji="1" lang="ja-JP" altLang="en-US" sz="1100"/>
            <a:t>休憩時間 </a:t>
          </a:r>
          <a:r>
            <a:rPr kumimoji="1" lang="en-US" altLang="ja-JP" sz="1100"/>
            <a:t>= 0.5</a:t>
          </a:r>
        </a:p>
        <a:p>
          <a:r>
            <a:rPr kumimoji="1" lang="en-US" altLang="ja-JP" sz="1100"/>
            <a:t>        Exit Function</a:t>
          </a:r>
        </a:p>
        <a:p>
          <a:r>
            <a:rPr kumimoji="1" lang="en-US" altLang="ja-JP" sz="1100"/>
            <a:t>    ElseIf </a:t>
          </a:r>
          <a:r>
            <a:rPr kumimoji="1" lang="ja-JP" altLang="en-US" sz="1100"/>
            <a:t>全時間 </a:t>
          </a:r>
          <a:r>
            <a:rPr kumimoji="1" lang="en-US" altLang="ja-JP" sz="1100"/>
            <a:t>&lt;= 8.5 Then</a:t>
          </a:r>
        </a:p>
        <a:p>
          <a:r>
            <a:rPr kumimoji="1" lang="en-US" altLang="ja-JP" sz="1100"/>
            <a:t>        </a:t>
          </a:r>
          <a:r>
            <a:rPr kumimoji="1" lang="ja-JP" altLang="en-US" sz="1100"/>
            <a:t>休憩時間 </a:t>
          </a:r>
          <a:r>
            <a:rPr kumimoji="1" lang="en-US" altLang="ja-JP" sz="1100"/>
            <a:t>= 1#</a:t>
          </a:r>
        </a:p>
        <a:p>
          <a:r>
            <a:rPr kumimoji="1" lang="en-US" altLang="ja-JP" sz="1100"/>
            <a:t>        Exit Function</a:t>
          </a:r>
        </a:p>
        <a:p>
          <a:r>
            <a:rPr kumimoji="1" lang="en-US" altLang="ja-JP" sz="1100"/>
            <a:t>    ElseIf </a:t>
          </a:r>
          <a:r>
            <a:rPr kumimoji="1" lang="ja-JP" altLang="en-US" sz="1100"/>
            <a:t>全時間 </a:t>
          </a:r>
          <a:r>
            <a:rPr kumimoji="1" lang="en-US" altLang="ja-JP" sz="1100"/>
            <a:t>= 9 Then</a:t>
          </a:r>
        </a:p>
        <a:p>
          <a:r>
            <a:rPr kumimoji="1" lang="en-US" altLang="ja-JP" sz="1100"/>
            <a:t>        </a:t>
          </a:r>
          <a:r>
            <a:rPr kumimoji="1" lang="ja-JP" altLang="en-US" sz="1100"/>
            <a:t>休憩時間 </a:t>
          </a:r>
          <a:r>
            <a:rPr kumimoji="1" lang="en-US" altLang="ja-JP" sz="1100"/>
            <a:t>= 1.5</a:t>
          </a:r>
        </a:p>
        <a:p>
          <a:r>
            <a:rPr kumimoji="1" lang="en-US" altLang="ja-JP" sz="1100"/>
            <a:t>        Exit Function</a:t>
          </a:r>
        </a:p>
        <a:p>
          <a:r>
            <a:rPr kumimoji="1" lang="en-US" altLang="ja-JP" sz="1100"/>
            <a:t>    ElseIf </a:t>
          </a:r>
          <a:r>
            <a:rPr kumimoji="1" lang="ja-JP" altLang="en-US" sz="1100"/>
            <a:t>全時間 </a:t>
          </a:r>
          <a:r>
            <a:rPr kumimoji="1" lang="en-US" altLang="ja-JP" sz="1100"/>
            <a:t>&lt;= 13# Then</a:t>
          </a:r>
        </a:p>
        <a:p>
          <a:r>
            <a:rPr kumimoji="1" lang="en-US" altLang="ja-JP" sz="1100"/>
            <a:t>        </a:t>
          </a:r>
          <a:r>
            <a:rPr kumimoji="1" lang="ja-JP" altLang="en-US" sz="1100"/>
            <a:t>休憩時間 </a:t>
          </a:r>
          <a:r>
            <a:rPr kumimoji="1" lang="en-US" altLang="ja-JP" sz="1100"/>
            <a:t>= 2</a:t>
          </a:r>
        </a:p>
        <a:p>
          <a:r>
            <a:rPr kumimoji="1" lang="en-US" altLang="ja-JP" sz="1100"/>
            <a:t>        Exit Function</a:t>
          </a:r>
        </a:p>
        <a:p>
          <a:r>
            <a:rPr kumimoji="1" lang="en-US" altLang="ja-JP" sz="1100"/>
            <a:t>    ElseIf </a:t>
          </a:r>
          <a:r>
            <a:rPr kumimoji="1" lang="ja-JP" altLang="en-US" sz="1100"/>
            <a:t>全時間 </a:t>
          </a:r>
          <a:r>
            <a:rPr kumimoji="1" lang="en-US" altLang="ja-JP" sz="1100"/>
            <a:t>&gt;= 13.5 Then</a:t>
          </a:r>
        </a:p>
        <a:p>
          <a:r>
            <a:rPr kumimoji="1" lang="en-US" altLang="ja-JP" sz="1100"/>
            <a:t>        </a:t>
          </a:r>
          <a:r>
            <a:rPr kumimoji="1" lang="ja-JP" altLang="en-US" sz="1100"/>
            <a:t>休憩時間 </a:t>
          </a:r>
          <a:r>
            <a:rPr kumimoji="1" lang="en-US" altLang="ja-JP" sz="1100"/>
            <a:t>= 2.5</a:t>
          </a:r>
        </a:p>
        <a:p>
          <a:r>
            <a:rPr kumimoji="1" lang="en-US" altLang="ja-JP" sz="1100"/>
            <a:t>    End If</a:t>
          </a:r>
        </a:p>
        <a:p>
          <a:r>
            <a:rPr kumimoji="1" lang="en-US" altLang="ja-JP" sz="1100"/>
            <a:t>End Function</a:t>
          </a:r>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378423</xdr:colOff>
      <xdr:row>12</xdr:row>
      <xdr:rowOff>56029</xdr:rowOff>
    </xdr:from>
    <xdr:to>
      <xdr:col>20</xdr:col>
      <xdr:colOff>391364</xdr:colOff>
      <xdr:row>18</xdr:row>
      <xdr:rowOff>22411</xdr:rowOff>
    </xdr:to>
    <xdr:sp macro="" textlink="">
      <xdr:nvSpPr>
        <xdr:cNvPr id="2" name="爆発 2 1">
          <a:extLst>
            <a:ext uri="{FF2B5EF4-FFF2-40B4-BE49-F238E27FC236}">
              <a16:creationId xmlns:a16="http://schemas.microsoft.com/office/drawing/2014/main" id="{3F94DACB-1909-4CD2-A81D-A643218BFBC5}"/>
            </a:ext>
          </a:extLst>
        </xdr:cNvPr>
        <xdr:cNvSpPr/>
      </xdr:nvSpPr>
      <xdr:spPr bwMode="auto">
        <a:xfrm>
          <a:off x="14018559" y="3496235"/>
          <a:ext cx="2756647" cy="1714500"/>
        </a:xfrm>
        <a:prstGeom prst="irregularSeal2">
          <a:avLst/>
        </a:prstGeom>
        <a:ln>
          <a:headEnd type="none" w="med" len="med"/>
          <a:tailEnd type="none" w="med" len="med"/>
        </a:ln>
      </xdr:spPr>
      <xdr:style>
        <a:lnRef idx="1">
          <a:schemeClr val="accent2"/>
        </a:lnRef>
        <a:fillRef idx="2">
          <a:schemeClr val="accent2"/>
        </a:fillRef>
        <a:effectRef idx="1">
          <a:schemeClr val="accent2"/>
        </a:effectRef>
        <a:fontRef idx="minor">
          <a:schemeClr val="dk1"/>
        </a:fontRef>
      </xdr:style>
      <xdr:txBody>
        <a:bodyPr vertOverflow="clip" horzOverflow="clip" wrap="square" lIns="18288" tIns="0" rIns="0" bIns="0" rtlCol="0" anchor="ctr" upright="1"/>
        <a:lstStyle/>
        <a:p>
          <a:pPr algn="ctr">
            <a:lnSpc>
              <a:spcPts val="1600"/>
            </a:lnSpc>
          </a:pPr>
          <a:r>
            <a:rPr kumimoji="1" lang="ja-JP" altLang="en-US" sz="1400"/>
            <a:t>夏季休暇は届出記入</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22412</xdr:colOff>
      <xdr:row>13</xdr:row>
      <xdr:rowOff>100853</xdr:rowOff>
    </xdr:from>
    <xdr:to>
      <xdr:col>14</xdr:col>
      <xdr:colOff>529561</xdr:colOff>
      <xdr:row>19</xdr:row>
      <xdr:rowOff>67236</xdr:rowOff>
    </xdr:to>
    <xdr:sp macro="" textlink="">
      <xdr:nvSpPr>
        <xdr:cNvPr id="2" name="爆発 2 1">
          <a:extLst>
            <a:ext uri="{FF2B5EF4-FFF2-40B4-BE49-F238E27FC236}">
              <a16:creationId xmlns:a16="http://schemas.microsoft.com/office/drawing/2014/main" id="{DFF0299B-878A-4D6C-855C-EA8048299A46}"/>
            </a:ext>
          </a:extLst>
        </xdr:cNvPr>
        <xdr:cNvSpPr/>
      </xdr:nvSpPr>
      <xdr:spPr bwMode="auto">
        <a:xfrm>
          <a:off x="10074088" y="3832412"/>
          <a:ext cx="2756647" cy="1714500"/>
        </a:xfrm>
        <a:prstGeom prst="irregularSeal2">
          <a:avLst/>
        </a:prstGeom>
        <a:ln>
          <a:headEnd type="none" w="med" len="med"/>
          <a:tailEnd type="none" w="med" len="med"/>
        </a:ln>
      </xdr:spPr>
      <xdr:style>
        <a:lnRef idx="1">
          <a:schemeClr val="accent2"/>
        </a:lnRef>
        <a:fillRef idx="2">
          <a:schemeClr val="accent2"/>
        </a:fillRef>
        <a:effectRef idx="1">
          <a:schemeClr val="accent2"/>
        </a:effectRef>
        <a:fontRef idx="minor">
          <a:schemeClr val="dk1"/>
        </a:fontRef>
      </xdr:style>
      <xdr:txBody>
        <a:bodyPr vertOverflow="clip" horzOverflow="clip" wrap="square" lIns="18288" tIns="0" rIns="0" bIns="0" rtlCol="0" anchor="ctr" upright="1"/>
        <a:lstStyle/>
        <a:p>
          <a:pPr algn="ctr">
            <a:lnSpc>
              <a:spcPts val="1600"/>
            </a:lnSpc>
          </a:pPr>
          <a:r>
            <a:rPr kumimoji="1" lang="ja-JP" altLang="en-US" sz="1400"/>
            <a:t>夏季休暇は届出記入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C38"/>
  <sheetViews>
    <sheetView topLeftCell="A10" workbookViewId="0">
      <selection activeCell="E34" sqref="E34:F34"/>
    </sheetView>
  </sheetViews>
  <sheetFormatPr defaultColWidth="9" defaultRowHeight="10.8" x14ac:dyDescent="0.15"/>
  <cols>
    <col min="1" max="1" width="9" style="83"/>
    <col min="2" max="2" width="13.6640625" style="83" customWidth="1"/>
    <col min="3" max="3" width="17.21875" style="83" customWidth="1"/>
    <col min="4" max="16384" width="9" style="83"/>
  </cols>
  <sheetData>
    <row r="2" spans="2:3" ht="14.4" x14ac:dyDescent="0.2">
      <c r="B2" s="84" t="s">
        <v>66</v>
      </c>
      <c r="C2" s="85"/>
    </row>
    <row r="4" spans="2:3" x14ac:dyDescent="0.15">
      <c r="B4" s="86" t="s">
        <v>92</v>
      </c>
    </row>
    <row r="5" spans="2:3" ht="11.4" thickBot="1" x14ac:dyDescent="0.2">
      <c r="B5" s="86" t="s">
        <v>75</v>
      </c>
    </row>
    <row r="6" spans="2:3" ht="11.4" thickTop="1" x14ac:dyDescent="0.15">
      <c r="B6" s="87" t="s">
        <v>9</v>
      </c>
      <c r="C6" s="89" t="s">
        <v>93</v>
      </c>
    </row>
    <row r="7" spans="2:3" x14ac:dyDescent="0.15">
      <c r="B7" s="87" t="s">
        <v>67</v>
      </c>
      <c r="C7" s="90" t="s">
        <v>94</v>
      </c>
    </row>
    <row r="8" spans="2:3" ht="11.4" thickBot="1" x14ac:dyDescent="0.2">
      <c r="B8" s="87" t="s">
        <v>68</v>
      </c>
      <c r="C8" s="91">
        <v>44287</v>
      </c>
    </row>
    <row r="9" spans="2:3" ht="11.4" thickTop="1" x14ac:dyDescent="0.15"/>
    <row r="11" spans="2:3" x14ac:dyDescent="0.15">
      <c r="B11" s="86" t="s">
        <v>76</v>
      </c>
    </row>
    <row r="12" spans="2:3" x14ac:dyDescent="0.15">
      <c r="B12" s="94" t="s">
        <v>13</v>
      </c>
      <c r="C12" s="88" t="s">
        <v>17</v>
      </c>
    </row>
    <row r="13" spans="2:3" x14ac:dyDescent="0.15">
      <c r="B13" s="95"/>
      <c r="C13" s="88" t="s">
        <v>69</v>
      </c>
    </row>
    <row r="14" spans="2:3" x14ac:dyDescent="0.15">
      <c r="B14" s="95"/>
      <c r="C14" s="88" t="s">
        <v>70</v>
      </c>
    </row>
    <row r="15" spans="2:3" x14ac:dyDescent="0.15">
      <c r="B15" s="95"/>
      <c r="C15" s="88" t="s">
        <v>18</v>
      </c>
    </row>
    <row r="16" spans="2:3" x14ac:dyDescent="0.15">
      <c r="B16" s="95"/>
      <c r="C16" s="88" t="s">
        <v>71</v>
      </c>
    </row>
    <row r="17" spans="2:3" x14ac:dyDescent="0.15">
      <c r="B17" s="95"/>
      <c r="C17" s="88" t="s">
        <v>72</v>
      </c>
    </row>
    <row r="18" spans="2:3" x14ac:dyDescent="0.15">
      <c r="B18" s="95"/>
      <c r="C18" s="88" t="s">
        <v>19</v>
      </c>
    </row>
    <row r="19" spans="2:3" x14ac:dyDescent="0.15">
      <c r="B19" s="95"/>
      <c r="C19" s="88" t="s">
        <v>73</v>
      </c>
    </row>
    <row r="20" spans="2:3" x14ac:dyDescent="0.15">
      <c r="B20" s="95"/>
      <c r="C20" s="88" t="s">
        <v>74</v>
      </c>
    </row>
    <row r="21" spans="2:3" x14ac:dyDescent="0.15">
      <c r="B21" s="95"/>
      <c r="C21" s="88" t="s">
        <v>14</v>
      </c>
    </row>
    <row r="22" spans="2:3" x14ac:dyDescent="0.15">
      <c r="B22" s="95"/>
      <c r="C22" s="88" t="s">
        <v>82</v>
      </c>
    </row>
    <row r="23" spans="2:3" x14ac:dyDescent="0.15">
      <c r="B23" s="96"/>
      <c r="C23" s="88" t="s">
        <v>16</v>
      </c>
    </row>
    <row r="26" spans="2:3" x14ac:dyDescent="0.15">
      <c r="B26" s="86" t="s">
        <v>83</v>
      </c>
    </row>
    <row r="27" spans="2:3" x14ac:dyDescent="0.15">
      <c r="B27" s="83" t="s">
        <v>84</v>
      </c>
    </row>
    <row r="29" spans="2:3" x14ac:dyDescent="0.15">
      <c r="B29" s="83" t="s">
        <v>85</v>
      </c>
    </row>
    <row r="30" spans="2:3" x14ac:dyDescent="0.15">
      <c r="B30" s="83" t="s">
        <v>86</v>
      </c>
    </row>
    <row r="31" spans="2:3" x14ac:dyDescent="0.15">
      <c r="B31" s="83" t="s">
        <v>87</v>
      </c>
    </row>
    <row r="33" spans="2:2" x14ac:dyDescent="0.15">
      <c r="B33" s="83" t="s">
        <v>88</v>
      </c>
    </row>
    <row r="36" spans="2:2" x14ac:dyDescent="0.15">
      <c r="B36" s="86" t="s">
        <v>89</v>
      </c>
    </row>
    <row r="37" spans="2:2" x14ac:dyDescent="0.15">
      <c r="B37" s="83" t="s">
        <v>90</v>
      </c>
    </row>
    <row r="38" spans="2:2" x14ac:dyDescent="0.15">
      <c r="B38" s="83" t="s">
        <v>91</v>
      </c>
    </row>
  </sheetData>
  <mergeCells count="1">
    <mergeCell ref="B12:B23"/>
  </mergeCells>
  <phoneticPr fontId="3"/>
  <pageMargins left="0.78700000000000003" right="0.78700000000000003" top="0.98399999999999999" bottom="0.98399999999999999"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R41"/>
  <sheetViews>
    <sheetView view="pageBreakPreview" topLeftCell="A22" zoomScale="85" zoomScaleNormal="100" zoomScaleSheetLayoutView="85" workbookViewId="0">
      <selection activeCell="H20" sqref="H20"/>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DATE(YEAR([0]!年度開始年月日),MONTH([0]!年度開始年月日)+1,DAY([0]!年度開始年月日))</f>
        <v>44317</v>
      </c>
      <c r="B1" s="99"/>
      <c r="C1" s="99"/>
      <c r="D1" s="43" t="s">
        <v>0</v>
      </c>
      <c r="F1" s="43"/>
      <c r="G1" s="43"/>
      <c r="H1" s="45" t="s">
        <v>61</v>
      </c>
      <c r="I1" s="46"/>
    </row>
    <row r="2" spans="1:18" ht="15" customHeight="1" x14ac:dyDescent="0.2">
      <c r="A2" s="47"/>
      <c r="B2" s="47" t="s">
        <v>8</v>
      </c>
      <c r="C2" s="48">
        <f>A1</f>
        <v>44317</v>
      </c>
      <c r="D2" s="49"/>
      <c r="F2" s="50"/>
      <c r="G2" s="50"/>
      <c r="H2" s="50"/>
      <c r="I2" s="46"/>
    </row>
    <row r="3" spans="1:18" ht="15" customHeight="1" x14ac:dyDescent="0.2">
      <c r="A3" s="47"/>
      <c r="B3" s="47" t="s">
        <v>7</v>
      </c>
      <c r="C3" s="48">
        <f>DATE(YEAR(C2),MONTH(C2)+1,1)-1</f>
        <v>44347</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97">
        <f>C3</f>
        <v>44347</v>
      </c>
      <c r="H6" s="97"/>
      <c r="I6" s="97"/>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44317</v>
      </c>
      <c r="B8" s="39">
        <f t="shared" ref="B8:B38" si="0">A8</f>
        <v>44317</v>
      </c>
      <c r="C8" s="66"/>
      <c r="D8" s="67"/>
      <c r="E8" s="79"/>
      <c r="F8" s="79"/>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44318</v>
      </c>
      <c r="B9" s="35">
        <f t="shared" si="0"/>
        <v>44318</v>
      </c>
      <c r="C9" s="70" t="s">
        <v>77</v>
      </c>
      <c r="D9" s="67"/>
      <c r="E9" s="80">
        <v>0.375</v>
      </c>
      <c r="F9" s="80">
        <v>0.72916666666666663</v>
      </c>
      <c r="G9" s="68">
        <f t="shared" si="1"/>
        <v>8.5</v>
      </c>
      <c r="H9" s="69">
        <f t="shared" si="2"/>
        <v>7.5</v>
      </c>
      <c r="I9" s="41">
        <f t="shared" si="3"/>
        <v>0</v>
      </c>
      <c r="Q9" s="65"/>
      <c r="R9" s="47"/>
    </row>
    <row r="10" spans="1:18" ht="22.5" customHeight="1" x14ac:dyDescent="0.2">
      <c r="A10" s="31">
        <f t="shared" si="4"/>
        <v>44319</v>
      </c>
      <c r="B10" s="35">
        <f t="shared" si="0"/>
        <v>44319</v>
      </c>
      <c r="C10" s="70" t="s">
        <v>77</v>
      </c>
      <c r="D10" s="67" t="s">
        <v>18</v>
      </c>
      <c r="E10" s="80">
        <v>0.41666666666666669</v>
      </c>
      <c r="F10" s="80">
        <v>0.875</v>
      </c>
      <c r="G10" s="68">
        <f t="shared" si="1"/>
        <v>11</v>
      </c>
      <c r="H10" s="69">
        <f t="shared" si="2"/>
        <v>9</v>
      </c>
      <c r="I10" s="41">
        <f t="shared" si="3"/>
        <v>1.5</v>
      </c>
      <c r="Q10" s="65"/>
      <c r="R10" s="47"/>
    </row>
    <row r="11" spans="1:18" ht="22.5" customHeight="1" x14ac:dyDescent="0.2">
      <c r="A11" s="31">
        <f t="shared" si="4"/>
        <v>44320</v>
      </c>
      <c r="B11" s="35">
        <f t="shared" si="0"/>
        <v>44320</v>
      </c>
      <c r="C11" s="70"/>
      <c r="D11" s="67"/>
      <c r="E11" s="80"/>
      <c r="F11" s="80"/>
      <c r="G11" s="68" t="str">
        <f t="shared" si="1"/>
        <v/>
      </c>
      <c r="H11" s="69" t="str">
        <f t="shared" si="2"/>
        <v/>
      </c>
      <c r="I11" s="41" t="str">
        <f t="shared" si="3"/>
        <v/>
      </c>
      <c r="Q11" s="65"/>
      <c r="R11" s="47"/>
    </row>
    <row r="12" spans="1:18" ht="22.5" customHeight="1" x14ac:dyDescent="0.2">
      <c r="A12" s="31">
        <f t="shared" si="4"/>
        <v>44321</v>
      </c>
      <c r="B12" s="35">
        <f t="shared" si="0"/>
        <v>44321</v>
      </c>
      <c r="C12" s="70"/>
      <c r="D12" s="67"/>
      <c r="E12" s="80"/>
      <c r="F12" s="80"/>
      <c r="G12" s="68" t="str">
        <f t="shared" si="1"/>
        <v/>
      </c>
      <c r="H12" s="69" t="str">
        <f t="shared" si="2"/>
        <v/>
      </c>
      <c r="I12" s="41" t="str">
        <f t="shared" si="3"/>
        <v/>
      </c>
      <c r="Q12" s="65"/>
      <c r="R12" s="47"/>
    </row>
    <row r="13" spans="1:18" ht="22.5" customHeight="1" x14ac:dyDescent="0.2">
      <c r="A13" s="31">
        <f t="shared" si="4"/>
        <v>44322</v>
      </c>
      <c r="B13" s="35">
        <f t="shared" si="0"/>
        <v>44322</v>
      </c>
      <c r="C13" s="70"/>
      <c r="D13" s="67" t="s">
        <v>19</v>
      </c>
      <c r="E13" s="80"/>
      <c r="F13" s="80"/>
      <c r="G13" s="68" t="str">
        <f t="shared" si="1"/>
        <v/>
      </c>
      <c r="H13" s="69" t="str">
        <f t="shared" si="2"/>
        <v/>
      </c>
      <c r="I13" s="41" t="str">
        <f t="shared" si="3"/>
        <v/>
      </c>
      <c r="Q13" s="65"/>
      <c r="R13" s="47"/>
    </row>
    <row r="14" spans="1:18" ht="22.5" customHeight="1" x14ac:dyDescent="0.2">
      <c r="A14" s="31">
        <f t="shared" si="4"/>
        <v>44323</v>
      </c>
      <c r="B14" s="35">
        <f t="shared" si="0"/>
        <v>44323</v>
      </c>
      <c r="C14" s="70"/>
      <c r="D14" s="67"/>
      <c r="E14" s="80"/>
      <c r="F14" s="80"/>
      <c r="G14" s="68" t="str">
        <f t="shared" si="1"/>
        <v/>
      </c>
      <c r="H14" s="69" t="str">
        <f t="shared" si="2"/>
        <v/>
      </c>
      <c r="I14" s="41" t="str">
        <f t="shared" si="3"/>
        <v/>
      </c>
      <c r="Q14" s="65"/>
      <c r="R14" s="47"/>
    </row>
    <row r="15" spans="1:18" ht="22.5" customHeight="1" x14ac:dyDescent="0.2">
      <c r="A15" s="31">
        <f t="shared" si="4"/>
        <v>44324</v>
      </c>
      <c r="B15" s="35">
        <f t="shared" si="0"/>
        <v>44324</v>
      </c>
      <c r="C15" s="70"/>
      <c r="D15" s="67"/>
      <c r="E15" s="80"/>
      <c r="F15" s="80"/>
      <c r="G15" s="68" t="str">
        <f t="shared" si="1"/>
        <v/>
      </c>
      <c r="H15" s="69" t="str">
        <f t="shared" si="2"/>
        <v/>
      </c>
      <c r="I15" s="41" t="str">
        <f t="shared" si="3"/>
        <v/>
      </c>
      <c r="Q15" s="65"/>
      <c r="R15" s="47"/>
    </row>
    <row r="16" spans="1:18" ht="22.5" customHeight="1" x14ac:dyDescent="0.2">
      <c r="A16" s="31">
        <f t="shared" si="4"/>
        <v>44325</v>
      </c>
      <c r="B16" s="35">
        <f t="shared" si="0"/>
        <v>44325</v>
      </c>
      <c r="C16" s="70" t="s">
        <v>79</v>
      </c>
      <c r="D16" s="67" t="s">
        <v>17</v>
      </c>
      <c r="E16" s="80"/>
      <c r="F16" s="80"/>
      <c r="G16" s="68" t="str">
        <f t="shared" si="1"/>
        <v/>
      </c>
      <c r="H16" s="69" t="str">
        <f t="shared" si="2"/>
        <v/>
      </c>
      <c r="I16" s="41" t="str">
        <f t="shared" si="3"/>
        <v/>
      </c>
      <c r="Q16" s="65"/>
      <c r="R16" s="47"/>
    </row>
    <row r="17" spans="1:18" ht="22.5" customHeight="1" x14ac:dyDescent="0.2">
      <c r="A17" s="31">
        <f t="shared" si="4"/>
        <v>44326</v>
      </c>
      <c r="B17" s="35">
        <f t="shared" si="0"/>
        <v>44326</v>
      </c>
      <c r="C17" s="70" t="s">
        <v>77</v>
      </c>
      <c r="D17" s="67" t="s">
        <v>78</v>
      </c>
      <c r="E17" s="80">
        <v>0.41666666666666669</v>
      </c>
      <c r="F17" s="80">
        <v>0.66666666666666663</v>
      </c>
      <c r="G17" s="68">
        <f t="shared" si="1"/>
        <v>6</v>
      </c>
      <c r="H17" s="69">
        <f t="shared" si="2"/>
        <v>5</v>
      </c>
      <c r="I17" s="41">
        <f t="shared" si="3"/>
        <v>0</v>
      </c>
      <c r="Q17" s="65"/>
      <c r="R17" s="47"/>
    </row>
    <row r="18" spans="1:18" ht="22.5" customHeight="1" x14ac:dyDescent="0.2">
      <c r="A18" s="31">
        <f t="shared" si="4"/>
        <v>44327</v>
      </c>
      <c r="B18" s="35">
        <f t="shared" si="0"/>
        <v>44327</v>
      </c>
      <c r="C18" s="70" t="s">
        <v>77</v>
      </c>
      <c r="D18" s="67" t="s">
        <v>69</v>
      </c>
      <c r="E18" s="80">
        <v>0.54166666666666663</v>
      </c>
      <c r="F18" s="80">
        <v>0.79166666666666663</v>
      </c>
      <c r="G18" s="68">
        <f t="shared" si="1"/>
        <v>6</v>
      </c>
      <c r="H18" s="69">
        <f t="shared" si="2"/>
        <v>5</v>
      </c>
      <c r="I18" s="41">
        <f t="shared" si="3"/>
        <v>0</v>
      </c>
      <c r="Q18" s="65"/>
      <c r="R18" s="47"/>
    </row>
    <row r="19" spans="1:18" ht="22.5" customHeight="1" x14ac:dyDescent="0.2">
      <c r="A19" s="31">
        <f t="shared" si="4"/>
        <v>44328</v>
      </c>
      <c r="B19" s="35">
        <f t="shared" si="0"/>
        <v>44328</v>
      </c>
      <c r="C19" s="70" t="s">
        <v>77</v>
      </c>
      <c r="D19" s="67" t="s">
        <v>69</v>
      </c>
      <c r="E19" s="80">
        <v>0.5</v>
      </c>
      <c r="F19" s="80">
        <v>0.6875</v>
      </c>
      <c r="G19" s="68">
        <f t="shared" si="1"/>
        <v>4.5</v>
      </c>
      <c r="H19" s="69">
        <f t="shared" si="2"/>
        <v>4.5</v>
      </c>
      <c r="I19" s="41">
        <f t="shared" si="3"/>
        <v>0</v>
      </c>
      <c r="Q19" s="65"/>
      <c r="R19" s="47"/>
    </row>
    <row r="20" spans="1:18" ht="22.5" customHeight="1" x14ac:dyDescent="0.2">
      <c r="A20" s="31">
        <f t="shared" si="4"/>
        <v>44329</v>
      </c>
      <c r="B20" s="35">
        <f t="shared" si="0"/>
        <v>44329</v>
      </c>
      <c r="C20" s="70" t="s">
        <v>77</v>
      </c>
      <c r="D20" s="67" t="s">
        <v>69</v>
      </c>
      <c r="E20" s="80">
        <v>0.54166666666666663</v>
      </c>
      <c r="F20" s="80">
        <v>0.91666666666666663</v>
      </c>
      <c r="G20" s="68">
        <f t="shared" si="1"/>
        <v>9</v>
      </c>
      <c r="H20" s="69">
        <f t="shared" si="2"/>
        <v>7.5</v>
      </c>
      <c r="I20" s="41">
        <f t="shared" si="3"/>
        <v>0</v>
      </c>
      <c r="Q20" s="65"/>
      <c r="R20" s="47"/>
    </row>
    <row r="21" spans="1:18" ht="22.5" customHeight="1" x14ac:dyDescent="0.2">
      <c r="A21" s="31">
        <f t="shared" si="4"/>
        <v>44330</v>
      </c>
      <c r="B21" s="35">
        <f t="shared" si="0"/>
        <v>44330</v>
      </c>
      <c r="C21" s="70"/>
      <c r="D21" s="67"/>
      <c r="E21" s="80"/>
      <c r="F21" s="80"/>
      <c r="G21" s="68" t="str">
        <f t="shared" si="1"/>
        <v/>
      </c>
      <c r="H21" s="69" t="str">
        <f t="shared" si="2"/>
        <v/>
      </c>
      <c r="I21" s="41" t="str">
        <f t="shared" si="3"/>
        <v/>
      </c>
      <c r="Q21" s="65"/>
      <c r="R21" s="47"/>
    </row>
    <row r="22" spans="1:18" ht="22.5" customHeight="1" x14ac:dyDescent="0.2">
      <c r="A22" s="31">
        <f t="shared" si="4"/>
        <v>44331</v>
      </c>
      <c r="B22" s="35">
        <f t="shared" si="0"/>
        <v>44331</v>
      </c>
      <c r="C22" s="70"/>
      <c r="D22" s="67"/>
      <c r="E22" s="80"/>
      <c r="F22" s="80"/>
      <c r="G22" s="68" t="str">
        <f t="shared" si="1"/>
        <v/>
      </c>
      <c r="H22" s="69" t="str">
        <f t="shared" si="2"/>
        <v/>
      </c>
      <c r="I22" s="41" t="str">
        <f t="shared" si="3"/>
        <v/>
      </c>
      <c r="Q22" s="65"/>
      <c r="R22" s="47"/>
    </row>
    <row r="23" spans="1:18" ht="22.5" customHeight="1" x14ac:dyDescent="0.2">
      <c r="A23" s="31">
        <f t="shared" si="4"/>
        <v>44332</v>
      </c>
      <c r="B23" s="35">
        <f t="shared" si="0"/>
        <v>44332</v>
      </c>
      <c r="C23" s="70" t="s">
        <v>80</v>
      </c>
      <c r="D23" s="67"/>
      <c r="E23" s="80">
        <v>0.375</v>
      </c>
      <c r="F23" s="80">
        <v>0.95833333333333337</v>
      </c>
      <c r="G23" s="68">
        <f t="shared" si="1"/>
        <v>13.999999999999998</v>
      </c>
      <c r="H23" s="69">
        <f t="shared" si="2"/>
        <v>11.499999999999998</v>
      </c>
      <c r="I23" s="41">
        <f t="shared" si="3"/>
        <v>3.9999999999999982</v>
      </c>
      <c r="Q23" s="65"/>
      <c r="R23" s="47"/>
    </row>
    <row r="24" spans="1:18" ht="22.5" customHeight="1" x14ac:dyDescent="0.2">
      <c r="A24" s="31">
        <f t="shared" si="4"/>
        <v>44333</v>
      </c>
      <c r="B24" s="35">
        <f t="shared" si="0"/>
        <v>44333</v>
      </c>
      <c r="C24" s="70" t="s">
        <v>80</v>
      </c>
      <c r="D24" s="67"/>
      <c r="E24" s="80">
        <v>0.375</v>
      </c>
      <c r="F24" s="80">
        <v>1.0833333333333333</v>
      </c>
      <c r="G24" s="68">
        <f t="shared" si="1"/>
        <v>17</v>
      </c>
      <c r="H24" s="69">
        <f t="shared" si="2"/>
        <v>14.5</v>
      </c>
      <c r="I24" s="41">
        <f t="shared" si="3"/>
        <v>7</v>
      </c>
      <c r="Q24" s="65"/>
      <c r="R24" s="47"/>
    </row>
    <row r="25" spans="1:18" ht="22.5" customHeight="1" x14ac:dyDescent="0.2">
      <c r="A25" s="31">
        <f t="shared" si="4"/>
        <v>44334</v>
      </c>
      <c r="B25" s="35">
        <f t="shared" si="0"/>
        <v>44334</v>
      </c>
      <c r="C25" s="70" t="s">
        <v>81</v>
      </c>
      <c r="D25" s="67" t="s">
        <v>15</v>
      </c>
      <c r="E25" s="80">
        <v>0.375</v>
      </c>
      <c r="F25" s="80">
        <v>0.79166666666666663</v>
      </c>
      <c r="G25" s="68">
        <f t="shared" si="1"/>
        <v>10</v>
      </c>
      <c r="H25" s="69">
        <f t="shared" si="2"/>
        <v>8</v>
      </c>
      <c r="I25" s="41">
        <f t="shared" si="3"/>
        <v>0.5</v>
      </c>
      <c r="Q25" s="65"/>
      <c r="R25" s="47"/>
    </row>
    <row r="26" spans="1:18" ht="22.5" customHeight="1" x14ac:dyDescent="0.2">
      <c r="A26" s="31">
        <f t="shared" si="4"/>
        <v>44335</v>
      </c>
      <c r="B26" s="35">
        <f t="shared" si="0"/>
        <v>44335</v>
      </c>
      <c r="C26" s="70" t="s">
        <v>77</v>
      </c>
      <c r="D26" s="67"/>
      <c r="E26" s="80">
        <v>0.375</v>
      </c>
      <c r="F26" s="80">
        <v>0.83333333333333337</v>
      </c>
      <c r="G26" s="68">
        <f t="shared" si="1"/>
        <v>10.999999999999998</v>
      </c>
      <c r="H26" s="69">
        <f t="shared" si="2"/>
        <v>8.9999999999999982</v>
      </c>
      <c r="I26" s="41">
        <f t="shared" si="3"/>
        <v>1.4999999999999982</v>
      </c>
      <c r="Q26" s="65"/>
      <c r="R26" s="47"/>
    </row>
    <row r="27" spans="1:18" ht="22.5" customHeight="1" x14ac:dyDescent="0.2">
      <c r="A27" s="31">
        <f t="shared" si="4"/>
        <v>44336</v>
      </c>
      <c r="B27" s="35">
        <f t="shared" si="0"/>
        <v>44336</v>
      </c>
      <c r="C27" s="70" t="s">
        <v>77</v>
      </c>
      <c r="D27" s="67"/>
      <c r="E27" s="80">
        <v>0.375</v>
      </c>
      <c r="F27" s="80">
        <v>0.89583333333333337</v>
      </c>
      <c r="G27" s="68">
        <f t="shared" si="1"/>
        <v>12.499999999999998</v>
      </c>
      <c r="H27" s="69">
        <f t="shared" si="2"/>
        <v>10.499999999999998</v>
      </c>
      <c r="I27" s="41">
        <f t="shared" si="3"/>
        <v>2.9999999999999982</v>
      </c>
      <c r="Q27" s="65"/>
      <c r="R27" s="47"/>
    </row>
    <row r="28" spans="1:18" ht="22.5" customHeight="1" x14ac:dyDescent="0.2">
      <c r="A28" s="31">
        <f t="shared" si="4"/>
        <v>44337</v>
      </c>
      <c r="B28" s="35">
        <f t="shared" si="0"/>
        <v>44337</v>
      </c>
      <c r="C28" s="70"/>
      <c r="D28" s="67"/>
      <c r="E28" s="80"/>
      <c r="F28" s="80"/>
      <c r="G28" s="68" t="str">
        <f t="shared" si="1"/>
        <v/>
      </c>
      <c r="H28" s="69" t="str">
        <f t="shared" si="2"/>
        <v/>
      </c>
      <c r="I28" s="41" t="str">
        <f t="shared" si="3"/>
        <v/>
      </c>
      <c r="Q28" s="65"/>
      <c r="R28" s="47"/>
    </row>
    <row r="29" spans="1:18" ht="22.5" customHeight="1" x14ac:dyDescent="0.2">
      <c r="A29" s="31">
        <f t="shared" si="4"/>
        <v>44338</v>
      </c>
      <c r="B29" s="35">
        <f t="shared" si="0"/>
        <v>44338</v>
      </c>
      <c r="C29" s="70"/>
      <c r="D29" s="67"/>
      <c r="E29" s="80"/>
      <c r="F29" s="80"/>
      <c r="G29" s="68" t="str">
        <f t="shared" si="1"/>
        <v/>
      </c>
      <c r="H29" s="69" t="str">
        <f t="shared" si="2"/>
        <v/>
      </c>
      <c r="I29" s="41" t="str">
        <f t="shared" si="3"/>
        <v/>
      </c>
    </row>
    <row r="30" spans="1:18" ht="22.5" customHeight="1" x14ac:dyDescent="0.2">
      <c r="A30" s="31">
        <f t="shared" si="4"/>
        <v>44339</v>
      </c>
      <c r="B30" s="35">
        <f t="shared" si="0"/>
        <v>44339</v>
      </c>
      <c r="C30" s="70" t="s">
        <v>77</v>
      </c>
      <c r="D30" s="67"/>
      <c r="E30" s="80">
        <v>0.375</v>
      </c>
      <c r="F30" s="80">
        <v>0.72916666666666663</v>
      </c>
      <c r="G30" s="68">
        <f t="shared" si="1"/>
        <v>8.5</v>
      </c>
      <c r="H30" s="69">
        <f t="shared" si="2"/>
        <v>7.5</v>
      </c>
      <c r="I30" s="41">
        <f t="shared" si="3"/>
        <v>0</v>
      </c>
    </row>
    <row r="31" spans="1:18" ht="22.5" customHeight="1" x14ac:dyDescent="0.2">
      <c r="A31" s="31">
        <f t="shared" si="4"/>
        <v>44340</v>
      </c>
      <c r="B31" s="35">
        <f t="shared" si="0"/>
        <v>44340</v>
      </c>
      <c r="C31" s="70" t="s">
        <v>77</v>
      </c>
      <c r="D31" s="67"/>
      <c r="E31" s="80">
        <v>0.375</v>
      </c>
      <c r="F31" s="80">
        <v>0.72916666666666663</v>
      </c>
      <c r="G31" s="68">
        <f t="shared" si="1"/>
        <v>8.5</v>
      </c>
      <c r="H31" s="69">
        <f t="shared" si="2"/>
        <v>7.5</v>
      </c>
      <c r="I31" s="41">
        <f t="shared" si="3"/>
        <v>0</v>
      </c>
    </row>
    <row r="32" spans="1:18" ht="22.5" customHeight="1" x14ac:dyDescent="0.2">
      <c r="A32" s="31">
        <f t="shared" si="4"/>
        <v>44341</v>
      </c>
      <c r="B32" s="35">
        <f t="shared" si="0"/>
        <v>44341</v>
      </c>
      <c r="C32" s="70" t="s">
        <v>77</v>
      </c>
      <c r="D32" s="67"/>
      <c r="E32" s="80">
        <v>0.375</v>
      </c>
      <c r="F32" s="80">
        <v>0.72916666666666663</v>
      </c>
      <c r="G32" s="68">
        <f t="shared" si="1"/>
        <v>8.5</v>
      </c>
      <c r="H32" s="69">
        <f t="shared" si="2"/>
        <v>7.5</v>
      </c>
      <c r="I32" s="41">
        <f t="shared" si="3"/>
        <v>0</v>
      </c>
    </row>
    <row r="33" spans="1:9" ht="22.5" customHeight="1" x14ac:dyDescent="0.2">
      <c r="A33" s="31">
        <f t="shared" si="4"/>
        <v>44342</v>
      </c>
      <c r="B33" s="35">
        <f t="shared" si="0"/>
        <v>44342</v>
      </c>
      <c r="C33" s="70" t="s">
        <v>77</v>
      </c>
      <c r="D33" s="67"/>
      <c r="E33" s="80">
        <v>0.375</v>
      </c>
      <c r="F33" s="80">
        <v>0.72916666666666663</v>
      </c>
      <c r="G33" s="68">
        <f t="shared" si="1"/>
        <v>8.5</v>
      </c>
      <c r="H33" s="69">
        <f t="shared" si="2"/>
        <v>7.5</v>
      </c>
      <c r="I33" s="41">
        <f t="shared" si="3"/>
        <v>0</v>
      </c>
    </row>
    <row r="34" spans="1:9" ht="22.5" customHeight="1" x14ac:dyDescent="0.2">
      <c r="A34" s="31">
        <f t="shared" si="4"/>
        <v>44343</v>
      </c>
      <c r="B34" s="35">
        <f t="shared" si="0"/>
        <v>44343</v>
      </c>
      <c r="C34" s="70" t="s">
        <v>77</v>
      </c>
      <c r="D34" s="67"/>
      <c r="E34" s="80">
        <v>0.375</v>
      </c>
      <c r="F34" s="80">
        <v>0.72916666666666663</v>
      </c>
      <c r="G34" s="68">
        <f t="shared" si="1"/>
        <v>8.5</v>
      </c>
      <c r="H34" s="69">
        <f t="shared" si="2"/>
        <v>7.5</v>
      </c>
      <c r="I34" s="41">
        <f t="shared" si="3"/>
        <v>0</v>
      </c>
    </row>
    <row r="35" spans="1:9" ht="22.5" customHeight="1" x14ac:dyDescent="0.2">
      <c r="A35" s="31">
        <f t="shared" si="4"/>
        <v>44344</v>
      </c>
      <c r="B35" s="35">
        <f t="shared" si="0"/>
        <v>44344</v>
      </c>
      <c r="C35" s="70"/>
      <c r="D35" s="67"/>
      <c r="E35" s="80"/>
      <c r="F35" s="80"/>
      <c r="G35" s="68" t="str">
        <f t="shared" si="1"/>
        <v/>
      </c>
      <c r="H35" s="69" t="str">
        <f t="shared" si="2"/>
        <v/>
      </c>
      <c r="I35" s="41" t="str">
        <f t="shared" si="3"/>
        <v/>
      </c>
    </row>
    <row r="36" spans="1:9" ht="22.5" customHeight="1" x14ac:dyDescent="0.2">
      <c r="A36" s="31">
        <f t="shared" si="4"/>
        <v>44345</v>
      </c>
      <c r="B36" s="35">
        <f t="shared" si="0"/>
        <v>44345</v>
      </c>
      <c r="C36" s="70"/>
      <c r="D36" s="67"/>
      <c r="E36" s="80"/>
      <c r="F36" s="80"/>
      <c r="G36" s="68" t="str">
        <f t="shared" si="1"/>
        <v/>
      </c>
      <c r="H36" s="69" t="str">
        <f t="shared" si="2"/>
        <v/>
      </c>
      <c r="I36" s="41" t="str">
        <f t="shared" si="3"/>
        <v/>
      </c>
    </row>
    <row r="37" spans="1:9" ht="22.5" customHeight="1" x14ac:dyDescent="0.2">
      <c r="A37" s="31">
        <f t="shared" si="4"/>
        <v>44346</v>
      </c>
      <c r="B37" s="35">
        <f t="shared" si="0"/>
        <v>44346</v>
      </c>
      <c r="C37" s="70" t="s">
        <v>77</v>
      </c>
      <c r="D37" s="67"/>
      <c r="E37" s="80">
        <v>0.375</v>
      </c>
      <c r="F37" s="80">
        <v>0.72916666666666663</v>
      </c>
      <c r="G37" s="68">
        <f t="shared" si="1"/>
        <v>8.5</v>
      </c>
      <c r="H37" s="69">
        <f t="shared" si="2"/>
        <v>7.5</v>
      </c>
      <c r="I37" s="41">
        <f t="shared" si="3"/>
        <v>0</v>
      </c>
    </row>
    <row r="38" spans="1:9" ht="22.5" customHeight="1" thickBot="1" x14ac:dyDescent="0.25">
      <c r="A38" s="36">
        <f t="shared" si="4"/>
        <v>44347</v>
      </c>
      <c r="B38" s="37">
        <f t="shared" si="0"/>
        <v>44347</v>
      </c>
      <c r="C38" s="70" t="s">
        <v>77</v>
      </c>
      <c r="D38" s="67"/>
      <c r="E38" s="80">
        <v>0.375</v>
      </c>
      <c r="F38" s="80">
        <v>0.72916666666666663</v>
      </c>
      <c r="G38" s="68">
        <f t="shared" si="1"/>
        <v>8.5</v>
      </c>
      <c r="H38" s="69">
        <f t="shared" si="2"/>
        <v>7.5</v>
      </c>
      <c r="I38" s="41">
        <f t="shared" si="3"/>
        <v>0</v>
      </c>
    </row>
    <row r="39" spans="1:9" s="74" customFormat="1" ht="24.9" customHeight="1" thickTop="1" thickBot="1" x14ac:dyDescent="0.25">
      <c r="A39" s="103" t="s">
        <v>6</v>
      </c>
      <c r="B39" s="104"/>
      <c r="C39" s="71"/>
      <c r="D39" s="72"/>
      <c r="E39" s="32">
        <f>COUNT(E8:E38)</f>
        <v>18</v>
      </c>
      <c r="F39" s="73"/>
      <c r="G39" s="33">
        <f>SUM(G8:G38)</f>
        <v>169</v>
      </c>
      <c r="H39" s="33">
        <f>SUM(H8:H38)</f>
        <v>144.5</v>
      </c>
      <c r="I39" s="34">
        <f>SUM(I8:I38)</f>
        <v>17.499999999999993</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40" priority="1" stopIfTrue="1">
      <formula>WEEKDAY($A8)=1</formula>
    </cfRule>
    <cfRule type="expression" dxfId="39" priority="2" stopIfTrue="1">
      <formula>WEEKDAY($A8)=7</formula>
    </cfRule>
    <cfRule type="expression" dxfId="38" priority="3" stopIfTrue="1">
      <formula>国民の祝日($A8,0)</formula>
    </cfRule>
  </conditionalFormatting>
  <dataValidations count="1">
    <dataValidation type="list" showInputMessage="1" sqref="D8:D38" xr:uid="{00000000-0002-0000-01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52"/>
  <sheetViews>
    <sheetView zoomScaleNormal="100" workbookViewId="0">
      <selection activeCell="A8" sqref="A8"/>
    </sheetView>
  </sheetViews>
  <sheetFormatPr defaultColWidth="9" defaultRowHeight="13.2" x14ac:dyDescent="0.2"/>
  <cols>
    <col min="1" max="2" width="5" style="1" customWidth="1"/>
    <col min="3" max="3" width="10.6640625" style="1" customWidth="1"/>
    <col min="4" max="5" width="5" style="1" customWidth="1"/>
    <col min="6" max="6" width="5.6640625" style="1" customWidth="1"/>
    <col min="7" max="8" width="5" style="1" customWidth="1"/>
    <col min="9" max="9" width="5.6640625" style="1" customWidth="1"/>
    <col min="10" max="11" width="5.21875" style="1" customWidth="1"/>
    <col min="12" max="12" width="35.77734375" style="1" customWidth="1"/>
    <col min="13" max="14" width="2.77734375" style="1" customWidth="1"/>
    <col min="15" max="15" width="3.6640625" style="2" customWidth="1"/>
    <col min="16" max="16" width="12.21875" style="2" bestFit="1" customWidth="1"/>
    <col min="17" max="17" width="5.77734375" style="2" customWidth="1"/>
    <col min="18" max="16384" width="9" style="1"/>
  </cols>
  <sheetData>
    <row r="1" spans="1:17" ht="24.75" customHeight="1" x14ac:dyDescent="0.2">
      <c r="A1" s="105">
        <f>[0]!年度開始年月日</f>
        <v>44287</v>
      </c>
      <c r="B1" s="105"/>
      <c r="C1" s="105"/>
      <c r="D1" s="105"/>
      <c r="E1" s="105"/>
    </row>
    <row r="2" spans="1:17" x14ac:dyDescent="0.2">
      <c r="C2" s="3"/>
    </row>
    <row r="3" spans="1:17" x14ac:dyDescent="0.2">
      <c r="A3" s="107" t="s">
        <v>59</v>
      </c>
      <c r="B3" s="107"/>
      <c r="C3" s="108" t="s">
        <v>60</v>
      </c>
      <c r="D3" s="109"/>
      <c r="E3" s="109"/>
    </row>
    <row r="4" spans="1:17" ht="37.5" customHeight="1" x14ac:dyDescent="0.2">
      <c r="A4" s="106" t="str">
        <f>[0]!社員番号</f>
        <v>00249</v>
      </c>
      <c r="B4" s="106"/>
      <c r="C4" s="106" t="str">
        <f>[0]!名前</f>
        <v>大野原　信</v>
      </c>
      <c r="D4" s="110"/>
      <c r="E4" s="110"/>
    </row>
    <row r="5" spans="1:17" x14ac:dyDescent="0.2">
      <c r="B5" s="4"/>
      <c r="C5" s="4"/>
    </row>
    <row r="6" spans="1:17" ht="15" customHeight="1" x14ac:dyDescent="0.2">
      <c r="A6" s="112" t="s">
        <v>20</v>
      </c>
      <c r="B6" s="113"/>
      <c r="C6" s="115" t="s">
        <v>21</v>
      </c>
      <c r="D6" s="112" t="s">
        <v>8</v>
      </c>
      <c r="E6" s="114"/>
      <c r="F6" s="113"/>
      <c r="G6" s="112" t="s">
        <v>22</v>
      </c>
      <c r="H6" s="114"/>
      <c r="I6" s="113"/>
      <c r="J6" s="115" t="s">
        <v>23</v>
      </c>
      <c r="K6" s="115" t="s">
        <v>24</v>
      </c>
      <c r="L6" s="115" t="s">
        <v>25</v>
      </c>
      <c r="O6" s="7">
        <v>1</v>
      </c>
      <c r="P6" s="8" t="s">
        <v>26</v>
      </c>
      <c r="Q6" s="9" t="s">
        <v>27</v>
      </c>
    </row>
    <row r="7" spans="1:17" s="12" customFormat="1" ht="15" customHeight="1" x14ac:dyDescent="0.2">
      <c r="A7" s="5" t="s">
        <v>28</v>
      </c>
      <c r="B7" s="10" t="s">
        <v>29</v>
      </c>
      <c r="C7" s="116"/>
      <c r="D7" s="5" t="s">
        <v>28</v>
      </c>
      <c r="E7" s="11" t="s">
        <v>29</v>
      </c>
      <c r="F7" s="6" t="s">
        <v>39</v>
      </c>
      <c r="G7" s="5" t="s">
        <v>28</v>
      </c>
      <c r="H7" s="11" t="s">
        <v>29</v>
      </c>
      <c r="I7" s="6" t="s">
        <v>39</v>
      </c>
      <c r="J7" s="116"/>
      <c r="K7" s="116"/>
      <c r="L7" s="116"/>
      <c r="O7" s="7">
        <v>2</v>
      </c>
      <c r="P7" s="8" t="s">
        <v>19</v>
      </c>
      <c r="Q7" s="9" t="s">
        <v>30</v>
      </c>
    </row>
    <row r="8" spans="1:17" s="12" customFormat="1" ht="15" customHeight="1" x14ac:dyDescent="0.2">
      <c r="A8" s="13"/>
      <c r="B8" s="14"/>
      <c r="C8" s="15"/>
      <c r="D8" s="13"/>
      <c r="E8" s="16"/>
      <c r="F8" s="18"/>
      <c r="G8" s="13"/>
      <c r="H8" s="16"/>
      <c r="I8" s="18"/>
      <c r="J8" s="19"/>
      <c r="K8" s="20"/>
      <c r="L8" s="93"/>
      <c r="O8" s="7">
        <v>3</v>
      </c>
      <c r="P8" s="8" t="s">
        <v>49</v>
      </c>
      <c r="Q8" s="9" t="s">
        <v>31</v>
      </c>
    </row>
    <row r="9" spans="1:17" s="12" customFormat="1" ht="15" customHeight="1" x14ac:dyDescent="0.2">
      <c r="A9" s="13"/>
      <c r="B9" s="14"/>
      <c r="C9" s="15"/>
      <c r="D9" s="13"/>
      <c r="E9" s="16"/>
      <c r="F9" s="18"/>
      <c r="G9" s="13"/>
      <c r="H9" s="16"/>
      <c r="I9" s="18"/>
      <c r="J9" s="19"/>
      <c r="K9" s="20"/>
      <c r="L9" s="93"/>
      <c r="O9" s="7">
        <v>4</v>
      </c>
      <c r="P9" s="22" t="s">
        <v>50</v>
      </c>
      <c r="Q9" s="23"/>
    </row>
    <row r="10" spans="1:17" s="12" customFormat="1" ht="15" customHeight="1" x14ac:dyDescent="0.2">
      <c r="A10" s="13"/>
      <c r="B10" s="14"/>
      <c r="C10" s="15"/>
      <c r="D10" s="13"/>
      <c r="E10" s="16"/>
      <c r="F10" s="18"/>
      <c r="G10" s="13"/>
      <c r="H10" s="16"/>
      <c r="I10" s="18"/>
      <c r="J10" s="19"/>
      <c r="K10" s="20"/>
      <c r="L10" s="93"/>
      <c r="O10" s="7">
        <v>5</v>
      </c>
      <c r="P10" s="8" t="s">
        <v>51</v>
      </c>
      <c r="Q10" s="23"/>
    </row>
    <row r="11" spans="1:17" s="12" customFormat="1" ht="15" customHeight="1" x14ac:dyDescent="0.2">
      <c r="A11" s="13"/>
      <c r="B11" s="14"/>
      <c r="C11" s="15"/>
      <c r="D11" s="13"/>
      <c r="E11" s="16"/>
      <c r="F11" s="18"/>
      <c r="G11" s="13"/>
      <c r="H11" s="16"/>
      <c r="I11" s="18"/>
      <c r="J11" s="19"/>
      <c r="K11" s="20"/>
      <c r="L11" s="21"/>
      <c r="O11" s="7">
        <v>6</v>
      </c>
      <c r="P11" s="8" t="s">
        <v>52</v>
      </c>
      <c r="Q11" s="23"/>
    </row>
    <row r="12" spans="1:17" s="12" customFormat="1" ht="15" customHeight="1" x14ac:dyDescent="0.2">
      <c r="A12" s="13"/>
      <c r="B12" s="14"/>
      <c r="C12" s="15"/>
      <c r="D12" s="13"/>
      <c r="E12" s="16"/>
      <c r="F12" s="18"/>
      <c r="G12" s="13"/>
      <c r="H12" s="16"/>
      <c r="I12" s="18"/>
      <c r="J12" s="19"/>
      <c r="K12" s="20"/>
      <c r="L12" s="21"/>
      <c r="O12" s="7">
        <v>7</v>
      </c>
      <c r="P12" s="8" t="s">
        <v>53</v>
      </c>
      <c r="Q12" s="23"/>
    </row>
    <row r="13" spans="1:17" s="12" customFormat="1" ht="15" customHeight="1" x14ac:dyDescent="0.2">
      <c r="A13" s="13"/>
      <c r="B13" s="14"/>
      <c r="C13" s="15"/>
      <c r="D13" s="13"/>
      <c r="E13" s="16"/>
      <c r="F13" s="18"/>
      <c r="G13" s="13"/>
      <c r="H13" s="16"/>
      <c r="I13" s="18"/>
      <c r="J13" s="19"/>
      <c r="K13" s="20"/>
      <c r="L13" s="21"/>
      <c r="O13" s="7">
        <v>8</v>
      </c>
      <c r="P13" s="8" t="s">
        <v>54</v>
      </c>
      <c r="Q13" s="23"/>
    </row>
    <row r="14" spans="1:17" s="12" customFormat="1" ht="15" customHeight="1" x14ac:dyDescent="0.2">
      <c r="A14" s="13"/>
      <c r="B14" s="14"/>
      <c r="C14" s="15"/>
      <c r="D14" s="13"/>
      <c r="E14" s="16"/>
      <c r="F14" s="18"/>
      <c r="G14" s="13"/>
      <c r="H14" s="16"/>
      <c r="I14" s="18"/>
      <c r="J14" s="19"/>
      <c r="K14" s="20"/>
      <c r="L14" s="21"/>
      <c r="O14" s="7">
        <v>9</v>
      </c>
      <c r="P14" s="8" t="s">
        <v>55</v>
      </c>
      <c r="Q14" s="23"/>
    </row>
    <row r="15" spans="1:17" s="12" customFormat="1" ht="15" customHeight="1" x14ac:dyDescent="0.2">
      <c r="A15" s="13"/>
      <c r="B15" s="14"/>
      <c r="C15" s="15"/>
      <c r="D15" s="13"/>
      <c r="E15" s="16"/>
      <c r="F15" s="18"/>
      <c r="G15" s="13"/>
      <c r="H15" s="16"/>
      <c r="I15" s="18"/>
      <c r="J15" s="19"/>
      <c r="K15" s="20"/>
      <c r="L15" s="21"/>
      <c r="O15" s="7">
        <v>10</v>
      </c>
      <c r="P15" s="8" t="s">
        <v>56</v>
      </c>
      <c r="Q15" s="23"/>
    </row>
    <row r="16" spans="1:17" s="12" customFormat="1" ht="15" customHeight="1" x14ac:dyDescent="0.2">
      <c r="A16" s="13"/>
      <c r="B16" s="14"/>
      <c r="C16" s="15"/>
      <c r="D16" s="13"/>
      <c r="E16" s="16"/>
      <c r="F16" s="18"/>
      <c r="G16" s="13"/>
      <c r="H16" s="16"/>
      <c r="I16" s="18"/>
      <c r="J16" s="19"/>
      <c r="K16" s="20"/>
      <c r="L16" s="21"/>
      <c r="O16" s="7">
        <v>11</v>
      </c>
      <c r="P16" s="22" t="s">
        <v>18</v>
      </c>
      <c r="Q16" s="23"/>
    </row>
    <row r="17" spans="1:17" s="12" customFormat="1" ht="15" customHeight="1" x14ac:dyDescent="0.2">
      <c r="A17" s="13"/>
      <c r="B17" s="14"/>
      <c r="C17" s="15"/>
      <c r="D17" s="13"/>
      <c r="E17" s="16"/>
      <c r="F17" s="18"/>
      <c r="G17" s="13"/>
      <c r="H17" s="16"/>
      <c r="I17" s="18"/>
      <c r="J17" s="19"/>
      <c r="K17" s="20"/>
      <c r="L17" s="21"/>
      <c r="O17" s="7">
        <v>12</v>
      </c>
      <c r="P17" s="24" t="s">
        <v>32</v>
      </c>
      <c r="Q17" s="23"/>
    </row>
    <row r="18" spans="1:17" s="12" customFormat="1" ht="15" customHeight="1" x14ac:dyDescent="0.2">
      <c r="A18" s="13"/>
      <c r="B18" s="14"/>
      <c r="C18" s="15"/>
      <c r="D18" s="13"/>
      <c r="E18" s="16"/>
      <c r="F18" s="18"/>
      <c r="G18" s="13"/>
      <c r="H18" s="16"/>
      <c r="I18" s="18"/>
      <c r="J18" s="19"/>
      <c r="K18" s="20"/>
      <c r="L18" s="21"/>
      <c r="O18" s="7">
        <v>13</v>
      </c>
      <c r="P18" s="24" t="s">
        <v>33</v>
      </c>
      <c r="Q18" s="23"/>
    </row>
    <row r="19" spans="1:17" s="12" customFormat="1" ht="15" customHeight="1" x14ac:dyDescent="0.2">
      <c r="A19" s="13"/>
      <c r="B19" s="14"/>
      <c r="C19" s="15"/>
      <c r="D19" s="13"/>
      <c r="E19" s="16"/>
      <c r="F19" s="18"/>
      <c r="G19" s="13"/>
      <c r="H19" s="16"/>
      <c r="I19" s="18"/>
      <c r="J19" s="19"/>
      <c r="K19" s="20"/>
      <c r="L19" s="21"/>
      <c r="O19" s="7">
        <v>14</v>
      </c>
      <c r="P19" s="24" t="s">
        <v>34</v>
      </c>
      <c r="Q19" s="23"/>
    </row>
    <row r="20" spans="1:17" s="12" customFormat="1" ht="15" customHeight="1" x14ac:dyDescent="0.2">
      <c r="A20" s="13"/>
      <c r="B20" s="14"/>
      <c r="C20" s="15"/>
      <c r="D20" s="13"/>
      <c r="E20" s="16"/>
      <c r="F20" s="18"/>
      <c r="G20" s="13"/>
      <c r="H20" s="16"/>
      <c r="I20" s="18"/>
      <c r="J20" s="19"/>
      <c r="K20" s="20"/>
      <c r="L20" s="21"/>
      <c r="O20" s="7">
        <v>15</v>
      </c>
      <c r="P20" s="24" t="s">
        <v>35</v>
      </c>
      <c r="Q20" s="23"/>
    </row>
    <row r="21" spans="1:17" s="12" customFormat="1" ht="15" customHeight="1" x14ac:dyDescent="0.2">
      <c r="A21" s="13"/>
      <c r="B21" s="14"/>
      <c r="C21" s="15"/>
      <c r="D21" s="13"/>
      <c r="E21" s="16"/>
      <c r="F21" s="18"/>
      <c r="G21" s="13"/>
      <c r="H21" s="16"/>
      <c r="I21" s="18"/>
      <c r="J21" s="19"/>
      <c r="K21" s="20"/>
      <c r="L21" s="21"/>
      <c r="O21" s="23"/>
      <c r="P21" s="2"/>
      <c r="Q21" s="23"/>
    </row>
    <row r="22" spans="1:17" s="12" customFormat="1" ht="15" customHeight="1" x14ac:dyDescent="0.2">
      <c r="A22" s="13"/>
      <c r="B22" s="14"/>
      <c r="C22" s="15"/>
      <c r="D22" s="13"/>
      <c r="E22" s="16"/>
      <c r="F22" s="18"/>
      <c r="G22" s="13"/>
      <c r="H22" s="16"/>
      <c r="I22" s="18"/>
      <c r="J22" s="19"/>
      <c r="K22" s="20"/>
      <c r="L22" s="21"/>
      <c r="O22" s="23"/>
      <c r="P22" s="2"/>
      <c r="Q22" s="23"/>
    </row>
    <row r="23" spans="1:17" s="12" customFormat="1" ht="15" customHeight="1" x14ac:dyDescent="0.2">
      <c r="A23" s="13"/>
      <c r="B23" s="14"/>
      <c r="C23" s="15"/>
      <c r="D23" s="13"/>
      <c r="E23" s="16"/>
      <c r="F23" s="18"/>
      <c r="G23" s="13"/>
      <c r="H23" s="16"/>
      <c r="I23" s="18"/>
      <c r="J23" s="19"/>
      <c r="K23" s="20"/>
      <c r="L23" s="21"/>
      <c r="O23" s="23"/>
      <c r="P23" s="2"/>
      <c r="Q23" s="23"/>
    </row>
    <row r="24" spans="1:17" s="12" customFormat="1" ht="15" customHeight="1" x14ac:dyDescent="0.2">
      <c r="A24" s="13"/>
      <c r="B24" s="14"/>
      <c r="C24" s="15"/>
      <c r="D24" s="13"/>
      <c r="E24" s="16"/>
      <c r="F24" s="18"/>
      <c r="G24" s="13"/>
      <c r="H24" s="16"/>
      <c r="I24" s="18"/>
      <c r="J24" s="19"/>
      <c r="K24" s="20"/>
      <c r="L24" s="21"/>
      <c r="O24" s="23"/>
      <c r="P24" s="2"/>
      <c r="Q24" s="23"/>
    </row>
    <row r="25" spans="1:17" s="12" customFormat="1" ht="15" customHeight="1" x14ac:dyDescent="0.2">
      <c r="A25" s="13"/>
      <c r="B25" s="14"/>
      <c r="C25" s="15"/>
      <c r="D25" s="13"/>
      <c r="E25" s="16"/>
      <c r="F25" s="18"/>
      <c r="G25" s="13"/>
      <c r="H25" s="16"/>
      <c r="I25" s="18"/>
      <c r="J25" s="19"/>
      <c r="K25" s="20"/>
      <c r="L25" s="21"/>
      <c r="O25" s="23"/>
      <c r="P25" s="2"/>
      <c r="Q25" s="23"/>
    </row>
    <row r="26" spans="1:17" s="12" customFormat="1" ht="15" customHeight="1" x14ac:dyDescent="0.2">
      <c r="A26" s="13"/>
      <c r="B26" s="14"/>
      <c r="C26" s="15"/>
      <c r="D26" s="13"/>
      <c r="E26" s="16"/>
      <c r="F26" s="18"/>
      <c r="G26" s="13"/>
      <c r="H26" s="16"/>
      <c r="I26" s="18"/>
      <c r="J26" s="19"/>
      <c r="K26" s="20"/>
      <c r="L26" s="21"/>
      <c r="O26" s="23"/>
      <c r="P26" s="2"/>
      <c r="Q26" s="23"/>
    </row>
    <row r="27" spans="1:17" s="12" customFormat="1" ht="15" customHeight="1" x14ac:dyDescent="0.2">
      <c r="A27" s="13"/>
      <c r="B27" s="14"/>
      <c r="C27" s="15"/>
      <c r="D27" s="13"/>
      <c r="E27" s="16"/>
      <c r="F27" s="18"/>
      <c r="G27" s="13"/>
      <c r="H27" s="16"/>
      <c r="I27" s="18"/>
      <c r="J27" s="19"/>
      <c r="K27" s="20"/>
      <c r="L27" s="21"/>
      <c r="O27" s="23"/>
      <c r="P27" s="2"/>
      <c r="Q27" s="23"/>
    </row>
    <row r="28" spans="1:17" s="12" customFormat="1" ht="15" customHeight="1" x14ac:dyDescent="0.2">
      <c r="A28" s="13"/>
      <c r="B28" s="14"/>
      <c r="C28" s="15"/>
      <c r="D28" s="13"/>
      <c r="E28" s="16"/>
      <c r="F28" s="18"/>
      <c r="G28" s="13"/>
      <c r="H28" s="16"/>
      <c r="I28" s="18"/>
      <c r="J28" s="19"/>
      <c r="K28" s="20"/>
      <c r="L28" s="21"/>
      <c r="O28" s="23"/>
      <c r="P28" s="2"/>
      <c r="Q28" s="23"/>
    </row>
    <row r="29" spans="1:17" s="12" customFormat="1" ht="15" customHeight="1" x14ac:dyDescent="0.2">
      <c r="A29" s="13"/>
      <c r="B29" s="14"/>
      <c r="C29" s="15"/>
      <c r="D29" s="13"/>
      <c r="E29" s="16"/>
      <c r="F29" s="18"/>
      <c r="G29" s="13"/>
      <c r="H29" s="16"/>
      <c r="I29" s="18"/>
      <c r="J29" s="19"/>
      <c r="K29" s="20"/>
      <c r="L29" s="21"/>
      <c r="O29" s="23"/>
      <c r="P29" s="2"/>
      <c r="Q29" s="23"/>
    </row>
    <row r="30" spans="1:17" s="12" customFormat="1" ht="15" customHeight="1" x14ac:dyDescent="0.2">
      <c r="A30" s="13"/>
      <c r="B30" s="14"/>
      <c r="C30" s="15"/>
      <c r="D30" s="13"/>
      <c r="E30" s="16"/>
      <c r="F30" s="18"/>
      <c r="G30" s="13"/>
      <c r="H30" s="16"/>
      <c r="I30" s="18"/>
      <c r="J30" s="19"/>
      <c r="K30" s="20"/>
      <c r="L30" s="21"/>
      <c r="O30" s="23"/>
      <c r="P30" s="2"/>
      <c r="Q30" s="23"/>
    </row>
    <row r="31" spans="1:17" s="12" customFormat="1" ht="15" customHeight="1" x14ac:dyDescent="0.2">
      <c r="A31" s="13"/>
      <c r="B31" s="14"/>
      <c r="C31" s="15"/>
      <c r="D31" s="13"/>
      <c r="E31" s="16"/>
      <c r="F31" s="18"/>
      <c r="G31" s="13"/>
      <c r="H31" s="16"/>
      <c r="I31" s="18"/>
      <c r="J31" s="19"/>
      <c r="K31" s="20"/>
      <c r="L31" s="21"/>
      <c r="O31" s="23"/>
      <c r="P31" s="2"/>
      <c r="Q31" s="23"/>
    </row>
    <row r="32" spans="1:17" s="12" customFormat="1" ht="15" customHeight="1" x14ac:dyDescent="0.2">
      <c r="A32" s="13"/>
      <c r="B32" s="14"/>
      <c r="C32" s="15"/>
      <c r="D32" s="13"/>
      <c r="E32" s="16"/>
      <c r="F32" s="18"/>
      <c r="G32" s="13"/>
      <c r="H32" s="16"/>
      <c r="I32" s="18"/>
      <c r="J32" s="19"/>
      <c r="K32" s="20"/>
      <c r="L32" s="21"/>
      <c r="O32" s="23"/>
      <c r="P32" s="2"/>
      <c r="Q32" s="23"/>
    </row>
    <row r="33" spans="1:17" s="12" customFormat="1" ht="15" customHeight="1" x14ac:dyDescent="0.2">
      <c r="A33" s="13"/>
      <c r="B33" s="14"/>
      <c r="C33" s="15"/>
      <c r="D33" s="13"/>
      <c r="E33" s="16"/>
      <c r="F33" s="18"/>
      <c r="G33" s="13"/>
      <c r="H33" s="16"/>
      <c r="I33" s="18"/>
      <c r="J33" s="19"/>
      <c r="K33" s="20"/>
      <c r="L33" s="21"/>
      <c r="O33" s="23"/>
      <c r="P33" s="2"/>
      <c r="Q33" s="23"/>
    </row>
    <row r="34" spans="1:17" s="12" customFormat="1" ht="15" customHeight="1" x14ac:dyDescent="0.2">
      <c r="A34" s="13"/>
      <c r="B34" s="14"/>
      <c r="C34" s="15"/>
      <c r="D34" s="13"/>
      <c r="E34" s="16"/>
      <c r="F34" s="18"/>
      <c r="G34" s="13"/>
      <c r="H34" s="16"/>
      <c r="I34" s="18"/>
      <c r="J34" s="19"/>
      <c r="K34" s="20"/>
      <c r="L34" s="21"/>
      <c r="O34" s="23"/>
      <c r="P34" s="2"/>
      <c r="Q34" s="23"/>
    </row>
    <row r="35" spans="1:17" s="12" customFormat="1" ht="15" customHeight="1" x14ac:dyDescent="0.2">
      <c r="A35" s="13"/>
      <c r="B35" s="14"/>
      <c r="C35" s="15"/>
      <c r="D35" s="13"/>
      <c r="E35" s="16"/>
      <c r="F35" s="18"/>
      <c r="G35" s="13"/>
      <c r="H35" s="16"/>
      <c r="I35" s="18"/>
      <c r="J35" s="19"/>
      <c r="K35" s="20"/>
      <c r="L35" s="21"/>
      <c r="O35" s="23"/>
      <c r="P35" s="2"/>
      <c r="Q35" s="23"/>
    </row>
    <row r="36" spans="1:17" s="12" customFormat="1" ht="15" customHeight="1" x14ac:dyDescent="0.2">
      <c r="A36" s="13"/>
      <c r="B36" s="14"/>
      <c r="C36" s="15"/>
      <c r="D36" s="13"/>
      <c r="E36" s="16"/>
      <c r="F36" s="18"/>
      <c r="G36" s="13"/>
      <c r="H36" s="16"/>
      <c r="I36" s="18"/>
      <c r="J36" s="19"/>
      <c r="K36" s="20"/>
      <c r="L36" s="21"/>
      <c r="O36" s="23"/>
      <c r="P36" s="2"/>
      <c r="Q36" s="23"/>
    </row>
    <row r="37" spans="1:17" s="12" customFormat="1" ht="15" customHeight="1" x14ac:dyDescent="0.2">
      <c r="A37" s="13"/>
      <c r="B37" s="14"/>
      <c r="C37" s="15"/>
      <c r="D37" s="13"/>
      <c r="E37" s="16"/>
      <c r="F37" s="18"/>
      <c r="G37" s="13"/>
      <c r="H37" s="16"/>
      <c r="I37" s="18"/>
      <c r="J37" s="19"/>
      <c r="K37" s="20"/>
      <c r="L37" s="21"/>
      <c r="O37" s="23"/>
      <c r="P37" s="2"/>
      <c r="Q37" s="23"/>
    </row>
    <row r="38" spans="1:17" s="12" customFormat="1" ht="15" customHeight="1" x14ac:dyDescent="0.2">
      <c r="A38" s="13"/>
      <c r="B38" s="14"/>
      <c r="C38" s="15"/>
      <c r="D38" s="13"/>
      <c r="E38" s="16"/>
      <c r="F38" s="18"/>
      <c r="G38" s="13"/>
      <c r="H38" s="16"/>
      <c r="I38" s="18"/>
      <c r="J38" s="19"/>
      <c r="K38" s="20"/>
      <c r="L38" s="21"/>
      <c r="O38" s="23"/>
      <c r="P38" s="2"/>
      <c r="Q38" s="23"/>
    </row>
    <row r="39" spans="1:17" s="12" customFormat="1" ht="15" customHeight="1" x14ac:dyDescent="0.2">
      <c r="A39" s="13"/>
      <c r="B39" s="14"/>
      <c r="C39" s="15"/>
      <c r="D39" s="13"/>
      <c r="E39" s="16"/>
      <c r="F39" s="18"/>
      <c r="G39" s="13"/>
      <c r="H39" s="16"/>
      <c r="I39" s="18"/>
      <c r="J39" s="19"/>
      <c r="K39" s="20"/>
      <c r="L39" s="21"/>
      <c r="O39" s="23"/>
      <c r="P39" s="2"/>
      <c r="Q39" s="23"/>
    </row>
    <row r="40" spans="1:17" s="12" customFormat="1" ht="15" customHeight="1" x14ac:dyDescent="0.2">
      <c r="A40" s="13"/>
      <c r="B40" s="14"/>
      <c r="C40" s="15"/>
      <c r="D40" s="13"/>
      <c r="E40" s="16"/>
      <c r="F40" s="18"/>
      <c r="G40" s="13"/>
      <c r="H40" s="16"/>
      <c r="I40" s="18"/>
      <c r="J40" s="19"/>
      <c r="K40" s="20"/>
      <c r="L40" s="21"/>
      <c r="O40" s="23"/>
      <c r="P40" s="2"/>
      <c r="Q40" s="23"/>
    </row>
    <row r="41" spans="1:17" s="12" customFormat="1" ht="15" customHeight="1" x14ac:dyDescent="0.2">
      <c r="A41" s="13"/>
      <c r="B41" s="14"/>
      <c r="C41" s="15"/>
      <c r="D41" s="13"/>
      <c r="E41" s="16"/>
      <c r="F41" s="18"/>
      <c r="G41" s="13"/>
      <c r="H41" s="16"/>
      <c r="I41" s="18"/>
      <c r="J41" s="19"/>
      <c r="K41" s="20"/>
      <c r="L41" s="21"/>
      <c r="O41" s="23"/>
      <c r="P41" s="2"/>
      <c r="Q41" s="23"/>
    </row>
    <row r="42" spans="1:17" s="12" customFormat="1" ht="15" customHeight="1" x14ac:dyDescent="0.2">
      <c r="A42" s="13"/>
      <c r="B42" s="14"/>
      <c r="C42" s="15"/>
      <c r="D42" s="13"/>
      <c r="E42" s="16"/>
      <c r="F42" s="18"/>
      <c r="G42" s="13"/>
      <c r="H42" s="16"/>
      <c r="I42" s="18"/>
      <c r="J42" s="19"/>
      <c r="K42" s="20"/>
      <c r="L42" s="21"/>
      <c r="O42" s="23"/>
      <c r="P42" s="2"/>
      <c r="Q42" s="23"/>
    </row>
    <row r="43" spans="1:17" s="12" customFormat="1" ht="15" customHeight="1" x14ac:dyDescent="0.2">
      <c r="A43" s="13"/>
      <c r="B43" s="14"/>
      <c r="C43" s="15"/>
      <c r="D43" s="13"/>
      <c r="E43" s="16"/>
      <c r="F43" s="18"/>
      <c r="G43" s="13"/>
      <c r="H43" s="16"/>
      <c r="I43" s="18"/>
      <c r="J43" s="19"/>
      <c r="K43" s="20"/>
      <c r="L43" s="21"/>
      <c r="O43" s="23"/>
      <c r="P43" s="2"/>
      <c r="Q43" s="23"/>
    </row>
    <row r="44" spans="1:17" s="12" customFormat="1" ht="15" customHeight="1" x14ac:dyDescent="0.2">
      <c r="A44" s="13"/>
      <c r="B44" s="14"/>
      <c r="C44" s="15"/>
      <c r="D44" s="13"/>
      <c r="E44" s="16"/>
      <c r="F44" s="18"/>
      <c r="G44" s="13"/>
      <c r="H44" s="16"/>
      <c r="I44" s="18"/>
      <c r="J44" s="19"/>
      <c r="K44" s="20"/>
      <c r="L44" s="21"/>
      <c r="O44" s="23"/>
      <c r="P44" s="2"/>
      <c r="Q44" s="23"/>
    </row>
    <row r="45" spans="1:17" s="12" customFormat="1" ht="15" customHeight="1" x14ac:dyDescent="0.2">
      <c r="A45" s="13"/>
      <c r="B45" s="14"/>
      <c r="C45" s="15"/>
      <c r="D45" s="13"/>
      <c r="E45" s="16"/>
      <c r="F45" s="18"/>
      <c r="G45" s="13"/>
      <c r="H45" s="16"/>
      <c r="I45" s="18"/>
      <c r="J45" s="19"/>
      <c r="K45" s="20"/>
      <c r="L45" s="21"/>
      <c r="O45" s="23"/>
      <c r="P45" s="2"/>
      <c r="Q45" s="23"/>
    </row>
    <row r="46" spans="1:17" s="12" customFormat="1" ht="15" customHeight="1" x14ac:dyDescent="0.2">
      <c r="A46" s="13"/>
      <c r="B46" s="14"/>
      <c r="C46" s="15"/>
      <c r="D46" s="13"/>
      <c r="E46" s="16"/>
      <c r="F46" s="18"/>
      <c r="G46" s="13"/>
      <c r="H46" s="16"/>
      <c r="I46" s="18"/>
      <c r="J46" s="19"/>
      <c r="K46" s="20"/>
      <c r="L46" s="21"/>
      <c r="O46" s="23"/>
      <c r="P46" s="2"/>
      <c r="Q46" s="23"/>
    </row>
    <row r="47" spans="1:17" s="12" customFormat="1" ht="15" customHeight="1" x14ac:dyDescent="0.2">
      <c r="A47" s="13"/>
      <c r="B47" s="14"/>
      <c r="C47" s="15"/>
      <c r="D47" s="13"/>
      <c r="E47" s="16"/>
      <c r="F47" s="17"/>
      <c r="G47" s="13"/>
      <c r="H47" s="16"/>
      <c r="I47" s="17"/>
      <c r="J47" s="19"/>
      <c r="K47" s="20"/>
      <c r="L47" s="21"/>
      <c r="O47" s="23"/>
      <c r="P47" s="2"/>
      <c r="Q47" s="23"/>
    </row>
    <row r="48" spans="1:17" ht="20.399999999999999" x14ac:dyDescent="0.2">
      <c r="A48" s="111" t="s">
        <v>57</v>
      </c>
      <c r="B48" s="111"/>
      <c r="C48" s="111"/>
      <c r="D48" s="111"/>
      <c r="E48" s="111"/>
      <c r="F48" s="111"/>
      <c r="G48" s="111"/>
      <c r="H48" s="111"/>
      <c r="I48" s="111"/>
      <c r="J48" s="111"/>
      <c r="K48" s="111"/>
      <c r="L48" s="111"/>
      <c r="P48" s="23"/>
    </row>
    <row r="49" spans="16:16" x14ac:dyDescent="0.2">
      <c r="P49" s="23"/>
    </row>
    <row r="50" spans="16:16" x14ac:dyDescent="0.2">
      <c r="P50" s="23"/>
    </row>
    <row r="51" spans="16:16" x14ac:dyDescent="0.2">
      <c r="P51" s="23"/>
    </row>
    <row r="52" spans="16:16" x14ac:dyDescent="0.2">
      <c r="P52" s="23"/>
    </row>
  </sheetData>
  <mergeCells count="13">
    <mergeCell ref="A48:L48"/>
    <mergeCell ref="A6:B6"/>
    <mergeCell ref="D6:F6"/>
    <mergeCell ref="G6:I6"/>
    <mergeCell ref="C6:C7"/>
    <mergeCell ref="J6:J7"/>
    <mergeCell ref="K6:K7"/>
    <mergeCell ref="L6:L7"/>
    <mergeCell ref="A1:E1"/>
    <mergeCell ref="A4:B4"/>
    <mergeCell ref="A3:B3"/>
    <mergeCell ref="C3:E3"/>
    <mergeCell ref="C4:E4"/>
  </mergeCells>
  <phoneticPr fontId="3"/>
  <dataValidations count="2">
    <dataValidation type="list" allowBlank="1" sqref="C8:C47" xr:uid="{00000000-0002-0000-0200-000000000000}">
      <formula1>$P$6:$P$20</formula1>
    </dataValidation>
    <dataValidation type="list" allowBlank="1" sqref="K8:K47" xr:uid="{00000000-0002-0000-0200-000001000000}">
      <formula1>$Q$6:$Q$8</formula1>
    </dataValidation>
  </dataValidations>
  <pageMargins left="0.59055118110236227" right="0" top="0.78740157480314965" bottom="0.98425196850393704" header="0.51181102362204722" footer="0.51181102362204722"/>
  <pageSetup paperSize="9" orientation="portrait" horizontalDpi="4294967293" verticalDpi="4294967293"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57"/>
  <sheetViews>
    <sheetView zoomScaleNormal="100" workbookViewId="0">
      <selection activeCell="E17" sqref="E17:F17"/>
    </sheetView>
  </sheetViews>
  <sheetFormatPr defaultColWidth="9" defaultRowHeight="13.2" x14ac:dyDescent="0.2"/>
  <cols>
    <col min="1" max="2" width="5" style="1" customWidth="1"/>
    <col min="3" max="3" width="6.88671875" style="1" customWidth="1"/>
    <col min="4" max="4" width="5.6640625" style="1" customWidth="1"/>
    <col min="5" max="5" width="6.88671875" style="1" customWidth="1"/>
    <col min="6" max="6" width="35.88671875" style="1" customWidth="1"/>
    <col min="7" max="8" width="5" style="1" customWidth="1"/>
    <col min="9" max="11" width="5.6640625" style="1" customWidth="1"/>
    <col min="12" max="13" width="2.33203125" style="1" customWidth="1"/>
    <col min="14" max="15" width="6.44140625" style="2" customWidth="1"/>
    <col min="16" max="16" width="6" style="2" customWidth="1"/>
    <col min="17" max="16384" width="9" style="1"/>
  </cols>
  <sheetData>
    <row r="1" spans="1:16" ht="24.75" customHeight="1" x14ac:dyDescent="0.2">
      <c r="A1" s="119">
        <f>[0]!年度開始年月日</f>
        <v>44287</v>
      </c>
      <c r="B1" s="119"/>
      <c r="C1" s="119"/>
      <c r="D1" s="119"/>
      <c r="E1" s="119"/>
      <c r="F1" s="119"/>
    </row>
    <row r="2" spans="1:16" x14ac:dyDescent="0.2">
      <c r="C2" s="3"/>
    </row>
    <row r="3" spans="1:16" x14ac:dyDescent="0.2">
      <c r="A3" s="107" t="s">
        <v>59</v>
      </c>
      <c r="B3" s="107"/>
      <c r="C3" s="122" t="s">
        <v>60</v>
      </c>
      <c r="D3" s="123"/>
      <c r="E3" s="124"/>
    </row>
    <row r="4" spans="1:16" ht="37.5" customHeight="1" x14ac:dyDescent="0.2">
      <c r="A4" s="120" t="str">
        <f>[0]!社員番号</f>
        <v>00249</v>
      </c>
      <c r="B4" s="121"/>
      <c r="C4" s="120" t="str">
        <f>[0]!名前</f>
        <v>大野原　信</v>
      </c>
      <c r="D4" s="125"/>
      <c r="E4" s="121"/>
    </row>
    <row r="5" spans="1:16" x14ac:dyDescent="0.2">
      <c r="B5" s="4"/>
      <c r="C5" s="4"/>
    </row>
    <row r="6" spans="1:16" ht="15" customHeight="1" x14ac:dyDescent="0.2">
      <c r="A6" s="126" t="s">
        <v>18</v>
      </c>
      <c r="B6" s="126"/>
      <c r="C6" s="126"/>
      <c r="D6" s="126"/>
      <c r="E6" s="126"/>
      <c r="F6" s="126"/>
      <c r="G6" s="127" t="s">
        <v>19</v>
      </c>
      <c r="H6" s="127"/>
      <c r="I6" s="127"/>
      <c r="J6" s="127"/>
      <c r="K6" s="128"/>
      <c r="N6" s="82">
        <v>1</v>
      </c>
      <c r="O6" s="7" t="s">
        <v>36</v>
      </c>
      <c r="P6" s="7" t="s">
        <v>37</v>
      </c>
    </row>
    <row r="7" spans="1:16" s="12" customFormat="1" ht="15" customHeight="1" x14ac:dyDescent="0.2">
      <c r="A7" s="5" t="s">
        <v>28</v>
      </c>
      <c r="B7" s="11" t="s">
        <v>29</v>
      </c>
      <c r="C7" s="11" t="s">
        <v>38</v>
      </c>
      <c r="D7" s="11" t="s">
        <v>39</v>
      </c>
      <c r="E7" s="129" t="s">
        <v>58</v>
      </c>
      <c r="F7" s="130"/>
      <c r="G7" s="5" t="s">
        <v>28</v>
      </c>
      <c r="H7" s="11" t="s">
        <v>29</v>
      </c>
      <c r="I7" s="11" t="s">
        <v>38</v>
      </c>
      <c r="J7" s="11" t="s">
        <v>23</v>
      </c>
      <c r="K7" s="6" t="s">
        <v>40</v>
      </c>
      <c r="N7" s="82">
        <v>0.5</v>
      </c>
      <c r="O7" s="7" t="s">
        <v>41</v>
      </c>
      <c r="P7" s="7" t="s">
        <v>42</v>
      </c>
    </row>
    <row r="8" spans="1:16" s="12" customFormat="1" ht="15" customHeight="1" x14ac:dyDescent="0.2">
      <c r="A8" s="13"/>
      <c r="B8" s="16"/>
      <c r="C8" s="26"/>
      <c r="D8" s="92"/>
      <c r="E8" s="131"/>
      <c r="F8" s="118"/>
      <c r="G8" s="27"/>
      <c r="H8" s="28"/>
      <c r="I8" s="28"/>
      <c r="J8" s="81"/>
      <c r="K8" s="25"/>
      <c r="N8" s="23"/>
      <c r="O8" s="7" t="s">
        <v>44</v>
      </c>
      <c r="P8" s="7" t="s">
        <v>45</v>
      </c>
    </row>
    <row r="9" spans="1:16" s="12" customFormat="1" ht="15" customHeight="1" x14ac:dyDescent="0.2">
      <c r="A9" s="13"/>
      <c r="B9" s="16"/>
      <c r="C9" s="26"/>
      <c r="D9" s="92"/>
      <c r="E9" s="131"/>
      <c r="F9" s="118"/>
      <c r="G9" s="27"/>
      <c r="H9" s="28"/>
      <c r="I9" s="28"/>
      <c r="J9" s="81"/>
      <c r="K9" s="25"/>
      <c r="N9" s="23"/>
      <c r="O9" s="2"/>
      <c r="P9" s="7" t="s">
        <v>43</v>
      </c>
    </row>
    <row r="10" spans="1:16" s="12" customFormat="1" ht="15" customHeight="1" x14ac:dyDescent="0.2">
      <c r="A10" s="29"/>
      <c r="B10" s="26"/>
      <c r="C10" s="26"/>
      <c r="D10" s="81"/>
      <c r="E10" s="117"/>
      <c r="F10" s="118"/>
      <c r="G10" s="27"/>
      <c r="H10" s="28"/>
      <c r="I10" s="28"/>
      <c r="J10" s="81"/>
      <c r="K10" s="25"/>
      <c r="N10" s="23"/>
      <c r="O10" s="2"/>
      <c r="P10" s="7" t="s">
        <v>46</v>
      </c>
    </row>
    <row r="11" spans="1:16" s="12" customFormat="1" ht="15" customHeight="1" x14ac:dyDescent="0.2">
      <c r="A11" s="29"/>
      <c r="B11" s="26"/>
      <c r="C11" s="26"/>
      <c r="D11" s="81"/>
      <c r="E11" s="117"/>
      <c r="F11" s="118"/>
      <c r="G11" s="27"/>
      <c r="H11" s="28"/>
      <c r="I11" s="28"/>
      <c r="J11" s="81"/>
      <c r="K11" s="25"/>
      <c r="N11" s="23"/>
      <c r="O11" s="2"/>
      <c r="P11" s="7" t="s">
        <v>47</v>
      </c>
    </row>
    <row r="12" spans="1:16" s="12" customFormat="1" ht="15" customHeight="1" x14ac:dyDescent="0.2">
      <c r="A12" s="13"/>
      <c r="B12" s="16"/>
      <c r="C12" s="26"/>
      <c r="D12" s="81"/>
      <c r="E12" s="117"/>
      <c r="F12" s="118"/>
      <c r="G12" s="27"/>
      <c r="H12" s="28"/>
      <c r="I12" s="28"/>
      <c r="J12" s="81"/>
      <c r="K12" s="25"/>
      <c r="N12" s="23"/>
      <c r="O12" s="2"/>
      <c r="P12" s="7" t="s">
        <v>48</v>
      </c>
    </row>
    <row r="13" spans="1:16" s="12" customFormat="1" ht="15" customHeight="1" x14ac:dyDescent="0.2">
      <c r="A13" s="13"/>
      <c r="B13" s="16"/>
      <c r="C13" s="26"/>
      <c r="D13" s="81"/>
      <c r="E13" s="117"/>
      <c r="F13" s="118"/>
      <c r="G13" s="27"/>
      <c r="H13" s="28"/>
      <c r="I13" s="28"/>
      <c r="J13" s="81"/>
      <c r="K13" s="25"/>
      <c r="N13" s="23"/>
      <c r="O13" s="2"/>
      <c r="P13" s="7" t="s">
        <v>16</v>
      </c>
    </row>
    <row r="14" spans="1:16" s="12" customFormat="1" ht="15" customHeight="1" x14ac:dyDescent="0.2">
      <c r="A14" s="13"/>
      <c r="B14" s="16"/>
      <c r="C14" s="26"/>
      <c r="D14" s="81"/>
      <c r="E14" s="117"/>
      <c r="F14" s="118"/>
      <c r="G14" s="27"/>
      <c r="H14" s="28"/>
      <c r="I14" s="28"/>
      <c r="J14" s="81"/>
      <c r="K14" s="25"/>
      <c r="N14" s="23"/>
      <c r="O14" s="2"/>
      <c r="P14" s="2"/>
    </row>
    <row r="15" spans="1:16" s="12" customFormat="1" ht="15" customHeight="1" x14ac:dyDescent="0.2">
      <c r="A15" s="13"/>
      <c r="B15" s="16"/>
      <c r="C15" s="26"/>
      <c r="D15" s="81"/>
      <c r="E15" s="117"/>
      <c r="F15" s="118"/>
      <c r="G15" s="27"/>
      <c r="H15" s="28"/>
      <c r="I15" s="28"/>
      <c r="J15" s="81"/>
      <c r="K15" s="25"/>
      <c r="N15" s="23"/>
      <c r="O15" s="2"/>
      <c r="P15" s="2"/>
    </row>
    <row r="16" spans="1:16" s="12" customFormat="1" ht="15" customHeight="1" x14ac:dyDescent="0.2">
      <c r="A16" s="13"/>
      <c r="B16" s="16"/>
      <c r="C16" s="26"/>
      <c r="D16" s="81"/>
      <c r="E16" s="117"/>
      <c r="F16" s="118"/>
      <c r="G16" s="27"/>
      <c r="H16" s="28"/>
      <c r="I16" s="28"/>
      <c r="J16" s="81"/>
      <c r="K16" s="25"/>
      <c r="N16" s="23"/>
      <c r="O16" s="2"/>
      <c r="P16" s="2"/>
    </row>
    <row r="17" spans="1:16" s="12" customFormat="1" ht="15" customHeight="1" x14ac:dyDescent="0.2">
      <c r="A17" s="13"/>
      <c r="B17" s="16"/>
      <c r="C17" s="26"/>
      <c r="D17" s="81"/>
      <c r="E17" s="117"/>
      <c r="F17" s="118"/>
      <c r="G17" s="27"/>
      <c r="H17" s="28"/>
      <c r="I17" s="28"/>
      <c r="J17" s="81"/>
      <c r="K17" s="25"/>
      <c r="N17" s="23"/>
      <c r="O17" s="2"/>
      <c r="P17" s="2"/>
    </row>
    <row r="18" spans="1:16" s="12" customFormat="1" ht="15" customHeight="1" x14ac:dyDescent="0.2">
      <c r="A18" s="13"/>
      <c r="B18" s="16"/>
      <c r="C18" s="26"/>
      <c r="D18" s="81"/>
      <c r="E18" s="117"/>
      <c r="F18" s="118"/>
      <c r="G18" s="27"/>
      <c r="H18" s="28"/>
      <c r="I18" s="28"/>
      <c r="J18" s="81"/>
      <c r="K18" s="25"/>
      <c r="N18" s="23"/>
      <c r="O18" s="2"/>
      <c r="P18" s="2"/>
    </row>
    <row r="19" spans="1:16" s="12" customFormat="1" ht="15" customHeight="1" x14ac:dyDescent="0.2">
      <c r="A19" s="13"/>
      <c r="B19" s="16"/>
      <c r="C19" s="26"/>
      <c r="D19" s="81"/>
      <c r="E19" s="117"/>
      <c r="F19" s="118"/>
      <c r="G19" s="27"/>
      <c r="H19" s="28"/>
      <c r="I19" s="28"/>
      <c r="J19" s="81"/>
      <c r="K19" s="25"/>
      <c r="N19" s="23"/>
      <c r="O19" s="2"/>
      <c r="P19" s="2"/>
    </row>
    <row r="20" spans="1:16" s="12" customFormat="1" ht="15" customHeight="1" x14ac:dyDescent="0.2">
      <c r="A20" s="13"/>
      <c r="B20" s="16"/>
      <c r="C20" s="26"/>
      <c r="D20" s="81"/>
      <c r="E20" s="117"/>
      <c r="F20" s="118"/>
      <c r="G20" s="27"/>
      <c r="H20" s="28"/>
      <c r="I20" s="28"/>
      <c r="J20" s="81"/>
      <c r="K20" s="25"/>
      <c r="N20" s="23"/>
      <c r="O20" s="2"/>
      <c r="P20" s="2"/>
    </row>
    <row r="21" spans="1:16" s="12" customFormat="1" ht="15" customHeight="1" x14ac:dyDescent="0.2">
      <c r="A21" s="13"/>
      <c r="B21" s="16"/>
      <c r="C21" s="26"/>
      <c r="D21" s="81"/>
      <c r="E21" s="117"/>
      <c r="F21" s="118"/>
      <c r="G21" s="27"/>
      <c r="H21" s="28"/>
      <c r="I21" s="28"/>
      <c r="J21" s="81"/>
      <c r="K21" s="25"/>
      <c r="N21" s="23"/>
      <c r="O21" s="2"/>
      <c r="P21" s="2"/>
    </row>
    <row r="22" spans="1:16" s="12" customFormat="1" ht="15" customHeight="1" x14ac:dyDescent="0.2">
      <c r="A22" s="13"/>
      <c r="B22" s="16"/>
      <c r="C22" s="26"/>
      <c r="D22" s="81"/>
      <c r="E22" s="117"/>
      <c r="F22" s="118"/>
      <c r="G22" s="27"/>
      <c r="H22" s="28"/>
      <c r="I22" s="28"/>
      <c r="J22" s="81"/>
      <c r="K22" s="25"/>
      <c r="N22" s="23"/>
      <c r="O22" s="2"/>
      <c r="P22" s="2"/>
    </row>
    <row r="23" spans="1:16" s="12" customFormat="1" ht="15" customHeight="1" x14ac:dyDescent="0.2">
      <c r="A23" s="13"/>
      <c r="B23" s="16"/>
      <c r="C23" s="26"/>
      <c r="D23" s="81"/>
      <c r="E23" s="117"/>
      <c r="F23" s="118"/>
      <c r="G23" s="27"/>
      <c r="H23" s="28"/>
      <c r="I23" s="28"/>
      <c r="J23" s="81"/>
      <c r="K23" s="25"/>
      <c r="N23" s="23"/>
      <c r="O23" s="2"/>
      <c r="P23" s="2"/>
    </row>
    <row r="24" spans="1:16" s="12" customFormat="1" ht="15" customHeight="1" x14ac:dyDescent="0.2">
      <c r="A24" s="13"/>
      <c r="B24" s="16"/>
      <c r="C24" s="26"/>
      <c r="D24" s="81"/>
      <c r="E24" s="117"/>
      <c r="F24" s="118"/>
      <c r="G24" s="27"/>
      <c r="H24" s="28"/>
      <c r="I24" s="28"/>
      <c r="J24" s="81"/>
      <c r="K24" s="25"/>
      <c r="N24" s="23"/>
      <c r="O24" s="2"/>
      <c r="P24" s="2"/>
    </row>
    <row r="25" spans="1:16" s="12" customFormat="1" ht="15" customHeight="1" x14ac:dyDescent="0.2">
      <c r="A25" s="13"/>
      <c r="B25" s="16"/>
      <c r="C25" s="26"/>
      <c r="D25" s="81"/>
      <c r="E25" s="117"/>
      <c r="F25" s="118"/>
      <c r="G25" s="27"/>
      <c r="H25" s="28"/>
      <c r="I25" s="28"/>
      <c r="J25" s="81"/>
      <c r="K25" s="25"/>
      <c r="N25" s="23"/>
      <c r="O25" s="2"/>
      <c r="P25" s="2"/>
    </row>
    <row r="26" spans="1:16" s="12" customFormat="1" ht="15" customHeight="1" x14ac:dyDescent="0.2">
      <c r="A26" s="13"/>
      <c r="B26" s="16"/>
      <c r="C26" s="26"/>
      <c r="D26" s="81"/>
      <c r="E26" s="117"/>
      <c r="F26" s="118"/>
      <c r="G26" s="27"/>
      <c r="H26" s="28"/>
      <c r="I26" s="28"/>
      <c r="J26" s="81"/>
      <c r="K26" s="25"/>
      <c r="N26" s="23"/>
      <c r="O26" s="2"/>
      <c r="P26" s="2"/>
    </row>
    <row r="27" spans="1:16" s="12" customFormat="1" ht="15" customHeight="1" x14ac:dyDescent="0.2">
      <c r="A27" s="13"/>
      <c r="B27" s="16"/>
      <c r="C27" s="26"/>
      <c r="D27" s="81"/>
      <c r="E27" s="117"/>
      <c r="F27" s="118"/>
      <c r="G27" s="27"/>
      <c r="H27" s="28"/>
      <c r="I27" s="28"/>
      <c r="J27" s="81"/>
      <c r="K27" s="25"/>
      <c r="N27" s="23"/>
      <c r="O27" s="2"/>
      <c r="P27" s="2"/>
    </row>
    <row r="28" spans="1:16" s="12" customFormat="1" ht="15" customHeight="1" x14ac:dyDescent="0.2">
      <c r="A28" s="13"/>
      <c r="B28" s="16"/>
      <c r="C28" s="26"/>
      <c r="D28" s="81"/>
      <c r="E28" s="117"/>
      <c r="F28" s="118"/>
      <c r="G28" s="27"/>
      <c r="H28" s="28"/>
      <c r="I28" s="28"/>
      <c r="J28" s="81"/>
      <c r="K28" s="25"/>
      <c r="N28" s="23"/>
      <c r="O28" s="2"/>
      <c r="P28" s="2"/>
    </row>
    <row r="29" spans="1:16" s="12" customFormat="1" ht="15" customHeight="1" x14ac:dyDescent="0.2">
      <c r="A29" s="13"/>
      <c r="B29" s="16"/>
      <c r="C29" s="26"/>
      <c r="D29" s="81"/>
      <c r="E29" s="117"/>
      <c r="F29" s="118"/>
      <c r="G29" s="27"/>
      <c r="H29" s="28"/>
      <c r="I29" s="28"/>
      <c r="J29" s="81"/>
      <c r="K29" s="25"/>
      <c r="N29" s="23"/>
      <c r="O29" s="2"/>
      <c r="P29" s="2"/>
    </row>
    <row r="30" spans="1:16" s="12" customFormat="1" ht="15" customHeight="1" x14ac:dyDescent="0.2">
      <c r="A30" s="13"/>
      <c r="B30" s="16"/>
      <c r="C30" s="26"/>
      <c r="D30" s="81"/>
      <c r="E30" s="117"/>
      <c r="F30" s="118"/>
      <c r="G30" s="27"/>
      <c r="H30" s="28"/>
      <c r="I30" s="28"/>
      <c r="J30" s="81"/>
      <c r="K30" s="25"/>
      <c r="N30" s="23"/>
      <c r="O30" s="2"/>
      <c r="P30" s="2"/>
    </row>
    <row r="31" spans="1:16" s="12" customFormat="1" ht="15" customHeight="1" x14ac:dyDescent="0.2">
      <c r="A31" s="13"/>
      <c r="B31" s="16"/>
      <c r="C31" s="26"/>
      <c r="D31" s="81"/>
      <c r="E31" s="117"/>
      <c r="F31" s="118"/>
      <c r="G31" s="27"/>
      <c r="H31" s="28"/>
      <c r="I31" s="28"/>
      <c r="J31" s="81"/>
      <c r="K31" s="25"/>
      <c r="N31" s="23"/>
      <c r="O31" s="2"/>
      <c r="P31" s="2"/>
    </row>
    <row r="32" spans="1:16" s="12" customFormat="1" ht="15" customHeight="1" x14ac:dyDescent="0.2">
      <c r="A32" s="13"/>
      <c r="B32" s="16"/>
      <c r="C32" s="26"/>
      <c r="D32" s="81"/>
      <c r="E32" s="117"/>
      <c r="F32" s="118"/>
      <c r="G32" s="27"/>
      <c r="H32" s="28"/>
      <c r="I32" s="28"/>
      <c r="J32" s="81"/>
      <c r="K32" s="25"/>
      <c r="N32" s="23"/>
      <c r="O32" s="2"/>
      <c r="P32" s="2"/>
    </row>
    <row r="33" spans="1:16" s="12" customFormat="1" ht="15" customHeight="1" x14ac:dyDescent="0.2">
      <c r="A33" s="13"/>
      <c r="B33" s="16"/>
      <c r="C33" s="26"/>
      <c r="D33" s="81"/>
      <c r="E33" s="117"/>
      <c r="F33" s="118"/>
      <c r="G33" s="27"/>
      <c r="H33" s="28"/>
      <c r="I33" s="28"/>
      <c r="J33" s="81"/>
      <c r="K33" s="25"/>
      <c r="N33" s="23"/>
      <c r="O33" s="2"/>
      <c r="P33" s="2"/>
    </row>
    <row r="34" spans="1:16" s="12" customFormat="1" ht="15" customHeight="1" x14ac:dyDescent="0.2">
      <c r="A34" s="13"/>
      <c r="B34" s="16"/>
      <c r="C34" s="26"/>
      <c r="D34" s="81"/>
      <c r="E34" s="117"/>
      <c r="F34" s="118"/>
      <c r="G34" s="27"/>
      <c r="H34" s="28"/>
      <c r="I34" s="28"/>
      <c r="J34" s="81"/>
      <c r="K34" s="25"/>
      <c r="N34" s="23"/>
      <c r="O34" s="2"/>
      <c r="P34" s="2"/>
    </row>
    <row r="35" spans="1:16" s="12" customFormat="1" ht="15" customHeight="1" x14ac:dyDescent="0.2">
      <c r="A35" s="13"/>
      <c r="B35" s="16"/>
      <c r="C35" s="26"/>
      <c r="D35" s="81"/>
      <c r="E35" s="117"/>
      <c r="F35" s="118"/>
      <c r="G35" s="27"/>
      <c r="H35" s="28"/>
      <c r="I35" s="28"/>
      <c r="J35" s="81"/>
      <c r="K35" s="25"/>
      <c r="N35" s="23"/>
      <c r="O35" s="2"/>
      <c r="P35" s="2"/>
    </row>
    <row r="36" spans="1:16" s="12" customFormat="1" ht="15" customHeight="1" x14ac:dyDescent="0.2">
      <c r="A36" s="13"/>
      <c r="B36" s="16"/>
      <c r="C36" s="26"/>
      <c r="D36" s="81"/>
      <c r="E36" s="117"/>
      <c r="F36" s="118"/>
      <c r="G36" s="27"/>
      <c r="H36" s="28"/>
      <c r="I36" s="28"/>
      <c r="J36" s="81"/>
      <c r="K36" s="25"/>
      <c r="N36" s="23"/>
      <c r="O36" s="2"/>
      <c r="P36" s="2"/>
    </row>
    <row r="37" spans="1:16" s="12" customFormat="1" ht="15" customHeight="1" x14ac:dyDescent="0.2">
      <c r="A37" s="13"/>
      <c r="B37" s="16"/>
      <c r="C37" s="26"/>
      <c r="D37" s="81"/>
      <c r="E37" s="117"/>
      <c r="F37" s="118"/>
      <c r="G37" s="27"/>
      <c r="H37" s="28"/>
      <c r="I37" s="28"/>
      <c r="J37" s="81"/>
      <c r="K37" s="25"/>
      <c r="N37" s="23"/>
      <c r="O37" s="2"/>
      <c r="P37" s="2"/>
    </row>
    <row r="38" spans="1:16" s="12" customFormat="1" ht="15" customHeight="1" x14ac:dyDescent="0.2">
      <c r="A38" s="13"/>
      <c r="B38" s="16"/>
      <c r="C38" s="26"/>
      <c r="D38" s="81"/>
      <c r="E38" s="117"/>
      <c r="F38" s="118"/>
      <c r="G38" s="27"/>
      <c r="H38" s="28"/>
      <c r="I38" s="28"/>
      <c r="J38" s="81"/>
      <c r="K38" s="25"/>
      <c r="N38" s="23"/>
      <c r="O38" s="2"/>
      <c r="P38" s="2"/>
    </row>
    <row r="39" spans="1:16" s="12" customFormat="1" ht="15" customHeight="1" x14ac:dyDescent="0.2">
      <c r="A39" s="13"/>
      <c r="B39" s="16"/>
      <c r="C39" s="26"/>
      <c r="D39" s="81"/>
      <c r="E39" s="117"/>
      <c r="F39" s="118"/>
      <c r="G39" s="27"/>
      <c r="H39" s="28"/>
      <c r="I39" s="28"/>
      <c r="J39" s="81"/>
      <c r="K39" s="25"/>
      <c r="N39" s="23"/>
      <c r="O39" s="2"/>
      <c r="P39" s="2"/>
    </row>
    <row r="40" spans="1:16" s="12" customFormat="1" ht="15" customHeight="1" x14ac:dyDescent="0.2">
      <c r="A40" s="13"/>
      <c r="B40" s="16"/>
      <c r="C40" s="26"/>
      <c r="D40" s="81"/>
      <c r="E40" s="117"/>
      <c r="F40" s="118"/>
      <c r="G40" s="27"/>
      <c r="H40" s="28"/>
      <c r="I40" s="28"/>
      <c r="J40" s="81"/>
      <c r="K40" s="25"/>
      <c r="N40" s="23"/>
      <c r="O40" s="2"/>
      <c r="P40" s="2"/>
    </row>
    <row r="41" spans="1:16" s="12" customFormat="1" ht="15" customHeight="1" x14ac:dyDescent="0.2">
      <c r="A41" s="13"/>
      <c r="B41" s="16"/>
      <c r="C41" s="26"/>
      <c r="D41" s="81"/>
      <c r="E41" s="117"/>
      <c r="F41" s="118"/>
      <c r="G41" s="27"/>
      <c r="H41" s="28"/>
      <c r="I41" s="28"/>
      <c r="J41" s="81"/>
      <c r="K41" s="25"/>
      <c r="N41" s="23"/>
      <c r="O41" s="2"/>
      <c r="P41" s="2"/>
    </row>
    <row r="42" spans="1:16" s="12" customFormat="1" ht="15" customHeight="1" x14ac:dyDescent="0.2">
      <c r="A42" s="13"/>
      <c r="B42" s="16"/>
      <c r="C42" s="26"/>
      <c r="D42" s="81"/>
      <c r="E42" s="117"/>
      <c r="F42" s="118"/>
      <c r="G42" s="27"/>
      <c r="H42" s="28"/>
      <c r="I42" s="28"/>
      <c r="J42" s="81"/>
      <c r="K42" s="25"/>
      <c r="N42" s="23"/>
      <c r="O42" s="2"/>
      <c r="P42" s="2"/>
    </row>
    <row r="43" spans="1:16" s="12" customFormat="1" ht="15" customHeight="1" x14ac:dyDescent="0.2">
      <c r="A43" s="13"/>
      <c r="B43" s="16"/>
      <c r="C43" s="26"/>
      <c r="D43" s="81"/>
      <c r="E43" s="117"/>
      <c r="F43" s="118"/>
      <c r="G43" s="27"/>
      <c r="H43" s="28"/>
      <c r="I43" s="28"/>
      <c r="J43" s="81"/>
      <c r="K43" s="25"/>
      <c r="N43" s="23"/>
      <c r="O43" s="2"/>
      <c r="P43" s="2"/>
    </row>
    <row r="44" spans="1:16" s="12" customFormat="1" ht="15" customHeight="1" x14ac:dyDescent="0.2">
      <c r="A44" s="13"/>
      <c r="B44" s="16"/>
      <c r="C44" s="26"/>
      <c r="D44" s="81"/>
      <c r="E44" s="117"/>
      <c r="F44" s="118"/>
      <c r="G44" s="27"/>
      <c r="H44" s="28"/>
      <c r="I44" s="28"/>
      <c r="J44" s="81"/>
      <c r="K44" s="25"/>
      <c r="N44" s="23"/>
      <c r="O44" s="2"/>
      <c r="P44" s="2"/>
    </row>
    <row r="45" spans="1:16" s="12" customFormat="1" ht="15" customHeight="1" x14ac:dyDescent="0.2">
      <c r="A45" s="13"/>
      <c r="B45" s="16"/>
      <c r="C45" s="26"/>
      <c r="D45" s="81"/>
      <c r="E45" s="117"/>
      <c r="F45" s="118"/>
      <c r="G45" s="27"/>
      <c r="H45" s="28"/>
      <c r="I45" s="28"/>
      <c r="J45" s="81"/>
      <c r="K45" s="25"/>
      <c r="N45" s="23"/>
      <c r="O45" s="2"/>
      <c r="P45" s="2"/>
    </row>
    <row r="46" spans="1:16" s="12" customFormat="1" ht="15" customHeight="1" x14ac:dyDescent="0.2">
      <c r="A46" s="13"/>
      <c r="B46" s="16"/>
      <c r="C46" s="26"/>
      <c r="D46" s="81"/>
      <c r="E46" s="117"/>
      <c r="F46" s="118"/>
      <c r="G46" s="27"/>
      <c r="H46" s="28"/>
      <c r="I46" s="28"/>
      <c r="J46" s="81"/>
      <c r="K46" s="25"/>
      <c r="N46" s="23"/>
      <c r="O46" s="2"/>
      <c r="P46" s="2"/>
    </row>
    <row r="47" spans="1:16" s="12" customFormat="1" ht="15" customHeight="1" x14ac:dyDescent="0.2">
      <c r="A47" s="13"/>
      <c r="B47" s="16"/>
      <c r="C47" s="26"/>
      <c r="D47" s="81"/>
      <c r="E47" s="117"/>
      <c r="F47" s="118"/>
      <c r="G47" s="27"/>
      <c r="H47" s="28"/>
      <c r="I47" s="28"/>
      <c r="J47" s="81"/>
      <c r="K47" s="25"/>
      <c r="N47" s="23"/>
      <c r="O47" s="2"/>
      <c r="P47" s="2"/>
    </row>
    <row r="48" spans="1:16" s="12" customFormat="1" ht="15" customHeight="1" x14ac:dyDescent="0.2">
      <c r="A48" s="13"/>
      <c r="B48" s="16"/>
      <c r="C48" s="26"/>
      <c r="D48" s="81"/>
      <c r="E48" s="117"/>
      <c r="F48" s="118"/>
      <c r="G48" s="27"/>
      <c r="H48" s="28"/>
      <c r="I48" s="28"/>
      <c r="J48" s="81"/>
      <c r="K48" s="25"/>
      <c r="N48" s="23"/>
      <c r="O48" s="2"/>
      <c r="P48" s="2"/>
    </row>
    <row r="49" spans="1:16" s="12" customFormat="1" ht="15" customHeight="1" x14ac:dyDescent="0.2">
      <c r="A49" s="13"/>
      <c r="B49" s="16"/>
      <c r="C49" s="26"/>
      <c r="D49" s="81"/>
      <c r="E49" s="117"/>
      <c r="F49" s="118"/>
      <c r="G49" s="27"/>
      <c r="H49" s="28"/>
      <c r="I49" s="28"/>
      <c r="J49" s="81"/>
      <c r="K49" s="25"/>
      <c r="N49" s="23"/>
      <c r="O49" s="2"/>
      <c r="P49" s="2"/>
    </row>
    <row r="50" spans="1:16" s="12" customFormat="1" ht="15" customHeight="1" x14ac:dyDescent="0.2">
      <c r="A50" s="13"/>
      <c r="B50" s="16"/>
      <c r="C50" s="26"/>
      <c r="D50" s="81"/>
      <c r="E50" s="117"/>
      <c r="F50" s="118"/>
      <c r="G50" s="27"/>
      <c r="H50" s="28"/>
      <c r="I50" s="28"/>
      <c r="J50" s="81"/>
      <c r="K50" s="25"/>
      <c r="N50" s="23"/>
      <c r="O50" s="2"/>
      <c r="P50" s="2"/>
    </row>
    <row r="51" spans="1:16" s="12" customFormat="1" ht="15" customHeight="1" x14ac:dyDescent="0.2">
      <c r="A51" s="13"/>
      <c r="B51" s="16"/>
      <c r="C51" s="26"/>
      <c r="D51" s="81"/>
      <c r="E51" s="117"/>
      <c r="F51" s="118"/>
      <c r="G51" s="27"/>
      <c r="H51" s="28"/>
      <c r="I51" s="28"/>
      <c r="J51" s="81"/>
      <c r="K51" s="25"/>
      <c r="N51" s="23"/>
      <c r="O51" s="2"/>
      <c r="P51" s="2"/>
    </row>
    <row r="52" spans="1:16" s="12" customFormat="1" ht="15" customHeight="1" x14ac:dyDescent="0.2">
      <c r="A52" s="13"/>
      <c r="B52" s="16"/>
      <c r="C52" s="26"/>
      <c r="D52" s="81"/>
      <c r="E52" s="117"/>
      <c r="F52" s="118"/>
      <c r="G52" s="27"/>
      <c r="H52" s="28"/>
      <c r="I52" s="28"/>
      <c r="J52" s="81"/>
      <c r="K52" s="25"/>
      <c r="N52" s="23"/>
      <c r="O52" s="2"/>
      <c r="P52" s="2"/>
    </row>
    <row r="53" spans="1:16" ht="20.399999999999999" x14ac:dyDescent="0.2">
      <c r="A53" s="111" t="s">
        <v>57</v>
      </c>
      <c r="B53" s="111"/>
      <c r="C53" s="111"/>
      <c r="D53" s="111"/>
      <c r="E53" s="111"/>
      <c r="F53" s="111"/>
      <c r="G53" s="111"/>
      <c r="H53" s="111"/>
      <c r="I53" s="111"/>
      <c r="J53" s="111"/>
      <c r="K53" s="111"/>
      <c r="P53" s="23"/>
    </row>
    <row r="54" spans="1:16" x14ac:dyDescent="0.2">
      <c r="P54" s="23"/>
    </row>
    <row r="55" spans="1:16" x14ac:dyDescent="0.2">
      <c r="P55" s="23"/>
    </row>
    <row r="56" spans="1:16" x14ac:dyDescent="0.2">
      <c r="P56" s="23"/>
    </row>
    <row r="57" spans="1:16" x14ac:dyDescent="0.2">
      <c r="P57" s="23"/>
    </row>
  </sheetData>
  <mergeCells count="54">
    <mergeCell ref="E13:F13"/>
    <mergeCell ref="E11:F11"/>
    <mergeCell ref="E10:F10"/>
    <mergeCell ref="A53:K53"/>
    <mergeCell ref="A6:F6"/>
    <mergeCell ref="G6:K6"/>
    <mergeCell ref="E15:F15"/>
    <mergeCell ref="E16:F16"/>
    <mergeCell ref="E17:F17"/>
    <mergeCell ref="E7:F7"/>
    <mergeCell ref="E14:F14"/>
    <mergeCell ref="E8:F8"/>
    <mergeCell ref="E9:F9"/>
    <mergeCell ref="A3:B3"/>
    <mergeCell ref="A4:B4"/>
    <mergeCell ref="C3:E3"/>
    <mergeCell ref="C4:E4"/>
    <mergeCell ref="E12:F12"/>
    <mergeCell ref="E52:F52"/>
    <mergeCell ref="E45:F45"/>
    <mergeCell ref="E46:F46"/>
    <mergeCell ref="E47:F47"/>
    <mergeCell ref="E48:F48"/>
    <mergeCell ref="E51:F51"/>
    <mergeCell ref="E49:F49"/>
    <mergeCell ref="E50:F50"/>
    <mergeCell ref="E20:F20"/>
    <mergeCell ref="E21:F21"/>
    <mergeCell ref="E41:F41"/>
    <mergeCell ref="E42:F42"/>
    <mergeCell ref="E39:F39"/>
    <mergeCell ref="E40:F40"/>
    <mergeCell ref="E29:F29"/>
    <mergeCell ref="E30:F30"/>
    <mergeCell ref="E31:F31"/>
    <mergeCell ref="E32:F32"/>
    <mergeCell ref="E35:F35"/>
    <mergeCell ref="E36:F36"/>
    <mergeCell ref="E44:F44"/>
    <mergeCell ref="A1:F1"/>
    <mergeCell ref="E26:F26"/>
    <mergeCell ref="E27:F27"/>
    <mergeCell ref="E28:F28"/>
    <mergeCell ref="E22:F22"/>
    <mergeCell ref="E23:F23"/>
    <mergeCell ref="E24:F24"/>
    <mergeCell ref="E25:F25"/>
    <mergeCell ref="E43:F43"/>
    <mergeCell ref="E18:F18"/>
    <mergeCell ref="E37:F37"/>
    <mergeCell ref="E38:F38"/>
    <mergeCell ref="E33:F33"/>
    <mergeCell ref="E34:F34"/>
    <mergeCell ref="E19:F19"/>
  </mergeCells>
  <phoneticPr fontId="3"/>
  <conditionalFormatting sqref="K8:K52">
    <cfRule type="cellIs" dxfId="37" priority="1" stopIfTrue="1" operator="equal">
      <formula>$O$7</formula>
    </cfRule>
    <cfRule type="cellIs" dxfId="36" priority="2" stopIfTrue="1" operator="equal">
      <formula>$O$8</formula>
    </cfRule>
  </conditionalFormatting>
  <dataValidations count="5">
    <dataValidation type="list" allowBlank="1" sqref="J9:J52" xr:uid="{00000000-0002-0000-0300-000000000000}">
      <formula1>$N$6:$N$8</formula1>
    </dataValidation>
    <dataValidation type="list" allowBlank="1" sqref="C8:C52" xr:uid="{00000000-0002-0000-0300-000001000000}">
      <formula1>$P$11:$P$13</formula1>
    </dataValidation>
    <dataValidation type="list" allowBlank="1" sqref="I8:I52" xr:uid="{00000000-0002-0000-0300-000002000000}">
      <formula1>$P$6:$P$10</formula1>
    </dataValidation>
    <dataValidation type="list" sqref="K8:K52" xr:uid="{00000000-0002-0000-0300-000003000000}">
      <formula1>$O$6:$O$8</formula1>
    </dataValidation>
    <dataValidation type="list" allowBlank="1" sqref="J8" xr:uid="{00000000-0002-0000-0300-000004000000}">
      <formula1>$N$6:$N$7</formula1>
    </dataValidation>
  </dataValidations>
  <pageMargins left="0.59055118110236227" right="0.19685039370078741" top="0.59055118110236227" bottom="0.78740157480314965" header="0.51181102362204722" footer="0.51181102362204722"/>
  <pageSetup paperSize="9" orientation="portrait" horizontalDpi="4294967293" verticalDpi="4294967293"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41"/>
  <sheetViews>
    <sheetView view="pageBreakPreview" zoomScale="85" zoomScaleNormal="100" zoomScaleSheetLayoutView="85" workbookViewId="0">
      <selection activeCell="E8" sqref="E8:F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[0]!年度開始年月日</f>
        <v>44287</v>
      </c>
      <c r="B1" s="99"/>
      <c r="C1" s="99"/>
      <c r="D1" s="43" t="s">
        <v>0</v>
      </c>
      <c r="F1" s="43"/>
      <c r="G1" s="43"/>
      <c r="H1" s="45" t="s">
        <v>61</v>
      </c>
      <c r="I1" s="46"/>
    </row>
    <row r="2" spans="1:18" ht="15" customHeight="1" x14ac:dyDescent="0.2">
      <c r="A2" s="47"/>
      <c r="B2" s="47" t="s">
        <v>8</v>
      </c>
      <c r="C2" s="48">
        <f>A1</f>
        <v>44287</v>
      </c>
      <c r="D2" s="49"/>
      <c r="F2" s="50"/>
      <c r="G2" s="50"/>
      <c r="H2" s="50"/>
      <c r="I2" s="46"/>
    </row>
    <row r="3" spans="1:18" ht="15" customHeight="1" x14ac:dyDescent="0.2">
      <c r="A3" s="47"/>
      <c r="B3" s="47" t="s">
        <v>7</v>
      </c>
      <c r="C3" s="48">
        <f>DATE(YEAR(C2),MONTH(C2)+1,1)-1</f>
        <v>44316</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44316</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44287</v>
      </c>
      <c r="B8" s="39">
        <f>A8</f>
        <v>44287</v>
      </c>
      <c r="C8" s="30" t="s">
        <v>95</v>
      </c>
      <c r="D8" s="42"/>
      <c r="E8" s="77">
        <v>0.375</v>
      </c>
      <c r="F8" s="77">
        <v>0.72916666666666663</v>
      </c>
      <c r="G8" s="68">
        <f>IF(F8&lt;&gt;"",(FLOOR(F8,"0:10")-CEILING(E8,"0:30"))*24,"")</f>
        <v>8.5</v>
      </c>
      <c r="H8" s="69">
        <f>IF(F8&lt;&gt;"",G8-休憩時間(G8),"")</f>
        <v>7.5</v>
      </c>
      <c r="I8" s="41">
        <f>IF(F8&lt;&gt;"",IF(H8-7.5&lt;0,0,H8-7.5),"")</f>
        <v>0</v>
      </c>
      <c r="Q8" s="65"/>
      <c r="R8" s="47"/>
    </row>
    <row r="9" spans="1:18" ht="22.5" customHeight="1" x14ac:dyDescent="0.2">
      <c r="A9" s="31">
        <f>IF($C$2,A8+1,"")</f>
        <v>44288</v>
      </c>
      <c r="B9" s="35">
        <f t="shared" ref="B9:B38" si="0">A9</f>
        <v>44288</v>
      </c>
      <c r="C9" s="30" t="s">
        <v>95</v>
      </c>
      <c r="D9" s="42"/>
      <c r="E9" s="77">
        <v>0.375</v>
      </c>
      <c r="F9" s="77">
        <v>0.72916666666666663</v>
      </c>
      <c r="G9" s="68">
        <f t="shared" ref="G9:G38" si="1">IF(F9&lt;&gt;"",(FLOOR(F9,"0:10")-CEILING(E9,"0:30"))*24,"")</f>
        <v>8.5</v>
      </c>
      <c r="H9" s="69">
        <f t="shared" ref="H9:H38" si="2">IF(F9&lt;&gt;"",G9-休憩時間(G9),"")</f>
        <v>7.5</v>
      </c>
      <c r="I9" s="41">
        <f t="shared" ref="I9:I38" si="3">IF(F9&lt;&gt;"",IF(H9-7.5&lt;0,0,H9-7.5),"")</f>
        <v>0</v>
      </c>
      <c r="Q9" s="65"/>
      <c r="R9" s="47"/>
    </row>
    <row r="10" spans="1:18" ht="22.5" customHeight="1" x14ac:dyDescent="0.2">
      <c r="A10" s="31">
        <f t="shared" ref="A10:A18" si="4">IF($C$2,A9+1,"")</f>
        <v>44289</v>
      </c>
      <c r="B10" s="35">
        <f t="shared" si="0"/>
        <v>44289</v>
      </c>
      <c r="C10" s="30"/>
      <c r="D10" s="42"/>
      <c r="E10" s="77"/>
      <c r="F10" s="77"/>
      <c r="G10" s="68" t="str">
        <f t="shared" si="1"/>
        <v/>
      </c>
      <c r="H10" s="69" t="str">
        <f t="shared" si="2"/>
        <v/>
      </c>
      <c r="I10" s="41" t="str">
        <f t="shared" si="3"/>
        <v/>
      </c>
      <c r="Q10" s="65"/>
      <c r="R10" s="47"/>
    </row>
    <row r="11" spans="1:18" ht="22.5" customHeight="1" x14ac:dyDescent="0.2">
      <c r="A11" s="31">
        <f t="shared" si="4"/>
        <v>44290</v>
      </c>
      <c r="B11" s="35">
        <f t="shared" si="0"/>
        <v>44290</v>
      </c>
      <c r="C11" s="30"/>
      <c r="D11" s="42"/>
      <c r="E11" s="78"/>
      <c r="F11" s="78"/>
      <c r="G11" s="68" t="str">
        <f t="shared" si="1"/>
        <v/>
      </c>
      <c r="H11" s="69" t="str">
        <f t="shared" si="2"/>
        <v/>
      </c>
      <c r="I11" s="41" t="str">
        <f t="shared" si="3"/>
        <v/>
      </c>
      <c r="Q11" s="65"/>
      <c r="R11" s="47"/>
    </row>
    <row r="12" spans="1:18" ht="22.5" customHeight="1" x14ac:dyDescent="0.2">
      <c r="A12" s="31">
        <f t="shared" si="4"/>
        <v>44291</v>
      </c>
      <c r="B12" s="35">
        <f t="shared" si="0"/>
        <v>44291</v>
      </c>
      <c r="C12" s="30" t="s">
        <v>95</v>
      </c>
      <c r="D12" s="42"/>
      <c r="E12" s="77">
        <v>0.375</v>
      </c>
      <c r="F12" s="77">
        <v>0.72916666666666663</v>
      </c>
      <c r="G12" s="68">
        <f t="shared" si="1"/>
        <v>8.5</v>
      </c>
      <c r="H12" s="69">
        <f t="shared" si="2"/>
        <v>7.5</v>
      </c>
      <c r="I12" s="41">
        <f t="shared" si="3"/>
        <v>0</v>
      </c>
      <c r="Q12" s="65"/>
      <c r="R12" s="47"/>
    </row>
    <row r="13" spans="1:18" ht="22.5" customHeight="1" x14ac:dyDescent="0.2">
      <c r="A13" s="31">
        <f t="shared" si="4"/>
        <v>44292</v>
      </c>
      <c r="B13" s="35">
        <f t="shared" si="0"/>
        <v>44292</v>
      </c>
      <c r="C13" s="30" t="s">
        <v>95</v>
      </c>
      <c r="D13" s="42"/>
      <c r="E13" s="77">
        <v>0.375</v>
      </c>
      <c r="F13" s="77">
        <v>0.72916666666666663</v>
      </c>
      <c r="G13" s="68">
        <f t="shared" si="1"/>
        <v>8.5</v>
      </c>
      <c r="H13" s="69">
        <f t="shared" si="2"/>
        <v>7.5</v>
      </c>
      <c r="I13" s="41">
        <f t="shared" si="3"/>
        <v>0</v>
      </c>
      <c r="Q13" s="65"/>
      <c r="R13" s="47"/>
    </row>
    <row r="14" spans="1:18" ht="22.5" customHeight="1" x14ac:dyDescent="0.2">
      <c r="A14" s="31">
        <f t="shared" si="4"/>
        <v>44293</v>
      </c>
      <c r="B14" s="35">
        <f t="shared" si="0"/>
        <v>44293</v>
      </c>
      <c r="C14" s="30" t="s">
        <v>95</v>
      </c>
      <c r="D14" s="42"/>
      <c r="E14" s="77">
        <v>0.375</v>
      </c>
      <c r="F14" s="77">
        <v>0.8125</v>
      </c>
      <c r="G14" s="68">
        <f t="shared" si="1"/>
        <v>10.5</v>
      </c>
      <c r="H14" s="69">
        <f t="shared" si="2"/>
        <v>8.5</v>
      </c>
      <c r="I14" s="41">
        <f t="shared" si="3"/>
        <v>1</v>
      </c>
      <c r="Q14" s="65"/>
      <c r="R14" s="47"/>
    </row>
    <row r="15" spans="1:18" ht="22.5" customHeight="1" x14ac:dyDescent="0.2">
      <c r="A15" s="31">
        <f t="shared" si="4"/>
        <v>44294</v>
      </c>
      <c r="B15" s="35">
        <f t="shared" si="0"/>
        <v>44294</v>
      </c>
      <c r="C15" s="30" t="s">
        <v>95</v>
      </c>
      <c r="D15" s="42"/>
      <c r="E15" s="77">
        <v>0.375</v>
      </c>
      <c r="F15" s="77">
        <v>0.72916666666666663</v>
      </c>
      <c r="G15" s="68">
        <f t="shared" si="1"/>
        <v>8.5</v>
      </c>
      <c r="H15" s="69">
        <f t="shared" si="2"/>
        <v>7.5</v>
      </c>
      <c r="I15" s="41">
        <f t="shared" si="3"/>
        <v>0</v>
      </c>
      <c r="Q15" s="65"/>
      <c r="R15" s="47"/>
    </row>
    <row r="16" spans="1:18" ht="22.5" customHeight="1" x14ac:dyDescent="0.2">
      <c r="A16" s="31">
        <f t="shared" si="4"/>
        <v>44295</v>
      </c>
      <c r="B16" s="35">
        <f t="shared" si="0"/>
        <v>44295</v>
      </c>
      <c r="C16" s="30" t="s">
        <v>95</v>
      </c>
      <c r="D16" s="42"/>
      <c r="E16" s="77">
        <v>0.375</v>
      </c>
      <c r="F16" s="77">
        <v>0.72916666666666663</v>
      </c>
      <c r="G16" s="68">
        <f t="shared" si="1"/>
        <v>8.5</v>
      </c>
      <c r="H16" s="69">
        <f t="shared" si="2"/>
        <v>7.5</v>
      </c>
      <c r="I16" s="41">
        <f t="shared" si="3"/>
        <v>0</v>
      </c>
      <c r="Q16" s="65"/>
      <c r="R16" s="47"/>
    </row>
    <row r="17" spans="1:18" ht="22.5" customHeight="1" x14ac:dyDescent="0.2">
      <c r="A17" s="31">
        <f t="shared" si="4"/>
        <v>44296</v>
      </c>
      <c r="B17" s="35">
        <f t="shared" si="0"/>
        <v>44296</v>
      </c>
      <c r="C17" s="30"/>
      <c r="D17" s="42"/>
      <c r="E17" s="77"/>
      <c r="F17" s="77"/>
      <c r="G17" s="68" t="str">
        <f t="shared" si="1"/>
        <v/>
      </c>
      <c r="H17" s="69" t="str">
        <f t="shared" si="2"/>
        <v/>
      </c>
      <c r="I17" s="41" t="str">
        <f t="shared" si="3"/>
        <v/>
      </c>
      <c r="Q17" s="65"/>
      <c r="R17" s="47"/>
    </row>
    <row r="18" spans="1:18" ht="22.5" customHeight="1" x14ac:dyDescent="0.2">
      <c r="A18" s="31">
        <f t="shared" si="4"/>
        <v>44297</v>
      </c>
      <c r="B18" s="35">
        <f t="shared" si="0"/>
        <v>44297</v>
      </c>
      <c r="C18" s="30"/>
      <c r="D18" s="42"/>
      <c r="E18" s="78"/>
      <c r="F18" s="78"/>
      <c r="G18" s="68" t="str">
        <f t="shared" si="1"/>
        <v/>
      </c>
      <c r="H18" s="69" t="str">
        <f t="shared" si="2"/>
        <v/>
      </c>
      <c r="I18" s="41" t="str">
        <f t="shared" si="3"/>
        <v/>
      </c>
      <c r="Q18" s="65"/>
      <c r="R18" s="47"/>
    </row>
    <row r="19" spans="1:18" ht="22.5" customHeight="1" x14ac:dyDescent="0.2">
      <c r="A19" s="31">
        <f t="shared" ref="A19:A38" si="5">IF($C$2,A18+1,"")</f>
        <v>44298</v>
      </c>
      <c r="B19" s="35">
        <f t="shared" si="0"/>
        <v>44298</v>
      </c>
      <c r="C19" s="30" t="s">
        <v>95</v>
      </c>
      <c r="D19" s="42"/>
      <c r="E19" s="77">
        <v>0.375</v>
      </c>
      <c r="F19" s="77">
        <v>0.72916666666666663</v>
      </c>
      <c r="G19" s="68">
        <f t="shared" si="1"/>
        <v>8.5</v>
      </c>
      <c r="H19" s="69">
        <f t="shared" si="2"/>
        <v>7.5</v>
      </c>
      <c r="I19" s="41">
        <f t="shared" si="3"/>
        <v>0</v>
      </c>
      <c r="Q19" s="65"/>
      <c r="R19" s="47"/>
    </row>
    <row r="20" spans="1:18" ht="22.5" customHeight="1" x14ac:dyDescent="0.2">
      <c r="A20" s="31">
        <f t="shared" si="5"/>
        <v>44299</v>
      </c>
      <c r="B20" s="35">
        <f t="shared" si="0"/>
        <v>44299</v>
      </c>
      <c r="C20" s="30" t="s">
        <v>95</v>
      </c>
      <c r="D20" s="42"/>
      <c r="E20" s="77">
        <v>0.375</v>
      </c>
      <c r="F20" s="77">
        <v>0.72916666666666663</v>
      </c>
      <c r="G20" s="68">
        <f t="shared" si="1"/>
        <v>8.5</v>
      </c>
      <c r="H20" s="69">
        <f t="shared" si="2"/>
        <v>7.5</v>
      </c>
      <c r="I20" s="41">
        <f t="shared" si="3"/>
        <v>0</v>
      </c>
      <c r="Q20" s="65"/>
      <c r="R20" s="47"/>
    </row>
    <row r="21" spans="1:18" ht="22.5" customHeight="1" x14ac:dyDescent="0.2">
      <c r="A21" s="31">
        <f t="shared" si="5"/>
        <v>44300</v>
      </c>
      <c r="B21" s="35">
        <f t="shared" si="0"/>
        <v>44300</v>
      </c>
      <c r="C21" s="30" t="s">
        <v>95</v>
      </c>
      <c r="D21" s="42"/>
      <c r="E21" s="77">
        <v>0.375</v>
      </c>
      <c r="F21" s="77">
        <v>0.72916666666666663</v>
      </c>
      <c r="G21" s="68">
        <f t="shared" si="1"/>
        <v>8.5</v>
      </c>
      <c r="H21" s="69">
        <f t="shared" si="2"/>
        <v>7.5</v>
      </c>
      <c r="I21" s="41">
        <f t="shared" si="3"/>
        <v>0</v>
      </c>
      <c r="Q21" s="65"/>
      <c r="R21" s="47"/>
    </row>
    <row r="22" spans="1:18" ht="22.5" customHeight="1" x14ac:dyDescent="0.2">
      <c r="A22" s="31">
        <f t="shared" si="5"/>
        <v>44301</v>
      </c>
      <c r="B22" s="35">
        <f t="shared" si="0"/>
        <v>44301</v>
      </c>
      <c r="C22" s="30" t="s">
        <v>95</v>
      </c>
      <c r="D22" s="42"/>
      <c r="E22" s="77">
        <v>0.375</v>
      </c>
      <c r="F22" s="77">
        <v>0.72916666666666663</v>
      </c>
      <c r="G22" s="68">
        <f t="shared" si="1"/>
        <v>8.5</v>
      </c>
      <c r="H22" s="69">
        <f t="shared" si="2"/>
        <v>7.5</v>
      </c>
      <c r="I22" s="41">
        <f t="shared" si="3"/>
        <v>0</v>
      </c>
      <c r="Q22" s="65"/>
      <c r="R22" s="47"/>
    </row>
    <row r="23" spans="1:18" ht="22.5" customHeight="1" x14ac:dyDescent="0.2">
      <c r="A23" s="31">
        <f t="shared" si="5"/>
        <v>44302</v>
      </c>
      <c r="B23" s="35">
        <f t="shared" si="0"/>
        <v>44302</v>
      </c>
      <c r="C23" s="30" t="s">
        <v>95</v>
      </c>
      <c r="D23" s="42"/>
      <c r="E23" s="77">
        <v>0.375</v>
      </c>
      <c r="F23" s="77">
        <v>0.72916666666666663</v>
      </c>
      <c r="G23" s="68">
        <f t="shared" si="1"/>
        <v>8.5</v>
      </c>
      <c r="H23" s="69">
        <f t="shared" si="2"/>
        <v>7.5</v>
      </c>
      <c r="I23" s="41">
        <f t="shared" si="3"/>
        <v>0</v>
      </c>
      <c r="Q23" s="65"/>
      <c r="R23" s="47"/>
    </row>
    <row r="24" spans="1:18" ht="22.5" customHeight="1" x14ac:dyDescent="0.2">
      <c r="A24" s="31">
        <f t="shared" si="5"/>
        <v>44303</v>
      </c>
      <c r="B24" s="35">
        <f t="shared" si="0"/>
        <v>44303</v>
      </c>
      <c r="C24" s="30"/>
      <c r="D24" s="42"/>
      <c r="E24" s="77"/>
      <c r="F24" s="77"/>
      <c r="G24" s="68" t="str">
        <f t="shared" si="1"/>
        <v/>
      </c>
      <c r="H24" s="69" t="str">
        <f t="shared" si="2"/>
        <v/>
      </c>
      <c r="I24" s="41" t="str">
        <f t="shared" si="3"/>
        <v/>
      </c>
      <c r="Q24" s="65"/>
      <c r="R24" s="47"/>
    </row>
    <row r="25" spans="1:18" ht="22.5" customHeight="1" x14ac:dyDescent="0.2">
      <c r="A25" s="31">
        <f t="shared" si="5"/>
        <v>44304</v>
      </c>
      <c r="B25" s="35">
        <f t="shared" si="0"/>
        <v>44304</v>
      </c>
      <c r="C25" s="30"/>
      <c r="D25" s="42"/>
      <c r="E25" s="78"/>
      <c r="F25" s="78"/>
      <c r="G25" s="68" t="str">
        <f t="shared" si="1"/>
        <v/>
      </c>
      <c r="H25" s="69" t="str">
        <f t="shared" si="2"/>
        <v/>
      </c>
      <c r="I25" s="41" t="str">
        <f t="shared" si="3"/>
        <v/>
      </c>
      <c r="Q25" s="65"/>
      <c r="R25" s="47"/>
    </row>
    <row r="26" spans="1:18" ht="22.5" customHeight="1" x14ac:dyDescent="0.2">
      <c r="A26" s="31">
        <f t="shared" si="5"/>
        <v>44305</v>
      </c>
      <c r="B26" s="35">
        <f t="shared" si="0"/>
        <v>44305</v>
      </c>
      <c r="C26" s="30" t="s">
        <v>95</v>
      </c>
      <c r="D26" s="42"/>
      <c r="E26" s="77">
        <v>0.375</v>
      </c>
      <c r="F26" s="77">
        <v>0.72916666666666663</v>
      </c>
      <c r="G26" s="68">
        <f t="shared" si="1"/>
        <v>8.5</v>
      </c>
      <c r="H26" s="69">
        <f t="shared" si="2"/>
        <v>7.5</v>
      </c>
      <c r="I26" s="41">
        <f t="shared" si="3"/>
        <v>0</v>
      </c>
      <c r="Q26" s="65"/>
      <c r="R26" s="47"/>
    </row>
    <row r="27" spans="1:18" ht="22.5" customHeight="1" x14ac:dyDescent="0.2">
      <c r="A27" s="31">
        <f t="shared" si="5"/>
        <v>44306</v>
      </c>
      <c r="B27" s="35">
        <f t="shared" si="0"/>
        <v>44306</v>
      </c>
      <c r="C27" s="30" t="s">
        <v>95</v>
      </c>
      <c r="D27" s="42"/>
      <c r="E27" s="77">
        <v>0.375</v>
      </c>
      <c r="F27" s="77">
        <v>0.72916666666666663</v>
      </c>
      <c r="G27" s="68">
        <f t="shared" si="1"/>
        <v>8.5</v>
      </c>
      <c r="H27" s="69">
        <f t="shared" si="2"/>
        <v>7.5</v>
      </c>
      <c r="I27" s="41">
        <f t="shared" si="3"/>
        <v>0</v>
      </c>
      <c r="Q27" s="65"/>
      <c r="R27" s="47"/>
    </row>
    <row r="28" spans="1:18" ht="22.5" customHeight="1" x14ac:dyDescent="0.2">
      <c r="A28" s="31">
        <f t="shared" si="5"/>
        <v>44307</v>
      </c>
      <c r="B28" s="35">
        <f t="shared" si="0"/>
        <v>44307</v>
      </c>
      <c r="C28" s="30" t="s">
        <v>95</v>
      </c>
      <c r="D28" s="42"/>
      <c r="E28" s="77">
        <v>0.375</v>
      </c>
      <c r="F28" s="77">
        <v>0.72916666666666663</v>
      </c>
      <c r="G28" s="68">
        <f t="shared" si="1"/>
        <v>8.5</v>
      </c>
      <c r="H28" s="69">
        <f t="shared" si="2"/>
        <v>7.5</v>
      </c>
      <c r="I28" s="41">
        <f t="shared" si="3"/>
        <v>0</v>
      </c>
      <c r="Q28" s="65"/>
      <c r="R28" s="47"/>
    </row>
    <row r="29" spans="1:18" ht="22.5" customHeight="1" x14ac:dyDescent="0.2">
      <c r="A29" s="31">
        <f t="shared" si="5"/>
        <v>44308</v>
      </c>
      <c r="B29" s="35">
        <f t="shared" si="0"/>
        <v>44308</v>
      </c>
      <c r="C29" s="30" t="s">
        <v>95</v>
      </c>
      <c r="D29" s="42"/>
      <c r="E29" s="77">
        <v>0.375</v>
      </c>
      <c r="F29" s="77">
        <v>0.72916666666666663</v>
      </c>
      <c r="G29" s="68">
        <f t="shared" si="1"/>
        <v>8.5</v>
      </c>
      <c r="H29" s="69">
        <f t="shared" si="2"/>
        <v>7.5</v>
      </c>
      <c r="I29" s="41">
        <f t="shared" si="3"/>
        <v>0</v>
      </c>
    </row>
    <row r="30" spans="1:18" ht="22.5" customHeight="1" x14ac:dyDescent="0.2">
      <c r="A30" s="31">
        <f t="shared" si="5"/>
        <v>44309</v>
      </c>
      <c r="B30" s="35">
        <f t="shared" si="0"/>
        <v>44309</v>
      </c>
      <c r="C30" s="30" t="s">
        <v>95</v>
      </c>
      <c r="D30" s="42"/>
      <c r="E30" s="77">
        <v>0.375</v>
      </c>
      <c r="F30" s="77">
        <v>0.72916666666666663</v>
      </c>
      <c r="G30" s="68">
        <f t="shared" si="1"/>
        <v>8.5</v>
      </c>
      <c r="H30" s="69">
        <f t="shared" si="2"/>
        <v>7.5</v>
      </c>
      <c r="I30" s="41">
        <f t="shared" si="3"/>
        <v>0</v>
      </c>
    </row>
    <row r="31" spans="1:18" ht="22.5" customHeight="1" x14ac:dyDescent="0.2">
      <c r="A31" s="31">
        <f t="shared" si="5"/>
        <v>44310</v>
      </c>
      <c r="B31" s="35">
        <f t="shared" si="0"/>
        <v>44310</v>
      </c>
      <c r="C31" s="30"/>
      <c r="D31" s="42"/>
      <c r="E31" s="77"/>
      <c r="F31" s="77"/>
      <c r="G31" s="68" t="str">
        <f t="shared" si="1"/>
        <v/>
      </c>
      <c r="H31" s="69" t="str">
        <f t="shared" si="2"/>
        <v/>
      </c>
      <c r="I31" s="41" t="str">
        <f t="shared" si="3"/>
        <v/>
      </c>
    </row>
    <row r="32" spans="1:18" ht="22.5" customHeight="1" x14ac:dyDescent="0.2">
      <c r="A32" s="31">
        <f t="shared" si="5"/>
        <v>44311</v>
      </c>
      <c r="B32" s="35">
        <f t="shared" si="0"/>
        <v>44311</v>
      </c>
      <c r="C32" s="30"/>
      <c r="D32" s="42"/>
      <c r="E32" s="78"/>
      <c r="F32" s="78"/>
      <c r="G32" s="68" t="str">
        <f t="shared" si="1"/>
        <v/>
      </c>
      <c r="H32" s="69" t="str">
        <f t="shared" si="2"/>
        <v/>
      </c>
      <c r="I32" s="41" t="str">
        <f t="shared" si="3"/>
        <v/>
      </c>
    </row>
    <row r="33" spans="1:9" ht="22.5" customHeight="1" x14ac:dyDescent="0.2">
      <c r="A33" s="31">
        <f t="shared" si="5"/>
        <v>44312</v>
      </c>
      <c r="B33" s="35">
        <f t="shared" si="0"/>
        <v>44312</v>
      </c>
      <c r="C33" s="30" t="s">
        <v>95</v>
      </c>
      <c r="D33" s="42"/>
      <c r="E33" s="77">
        <v>0.375</v>
      </c>
      <c r="F33" s="77">
        <v>0.79166666666666663</v>
      </c>
      <c r="G33" s="68">
        <f t="shared" si="1"/>
        <v>10</v>
      </c>
      <c r="H33" s="69">
        <f t="shared" si="2"/>
        <v>8</v>
      </c>
      <c r="I33" s="41">
        <f t="shared" si="3"/>
        <v>0.5</v>
      </c>
    </row>
    <row r="34" spans="1:9" ht="22.5" customHeight="1" x14ac:dyDescent="0.2">
      <c r="A34" s="31">
        <f t="shared" si="5"/>
        <v>44313</v>
      </c>
      <c r="B34" s="35">
        <f t="shared" si="0"/>
        <v>44313</v>
      </c>
      <c r="C34" s="30" t="s">
        <v>95</v>
      </c>
      <c r="D34" s="42"/>
      <c r="E34" s="77">
        <v>0.375</v>
      </c>
      <c r="F34" s="77">
        <v>0.72916666666666663</v>
      </c>
      <c r="G34" s="68">
        <f t="shared" si="1"/>
        <v>8.5</v>
      </c>
      <c r="H34" s="69">
        <f t="shared" si="2"/>
        <v>7.5</v>
      </c>
      <c r="I34" s="41">
        <f t="shared" si="3"/>
        <v>0</v>
      </c>
    </row>
    <row r="35" spans="1:9" ht="22.5" customHeight="1" x14ac:dyDescent="0.2">
      <c r="A35" s="31">
        <f t="shared" si="5"/>
        <v>44314</v>
      </c>
      <c r="B35" s="35">
        <f t="shared" si="0"/>
        <v>44314</v>
      </c>
      <c r="C35" s="30" t="s">
        <v>95</v>
      </c>
      <c r="D35" s="42"/>
      <c r="E35" s="77">
        <v>0.375</v>
      </c>
      <c r="F35" s="77">
        <v>0.72916666666666663</v>
      </c>
      <c r="G35" s="68">
        <f t="shared" si="1"/>
        <v>8.5</v>
      </c>
      <c r="H35" s="69">
        <f t="shared" si="2"/>
        <v>7.5</v>
      </c>
      <c r="I35" s="41">
        <f t="shared" si="3"/>
        <v>0</v>
      </c>
    </row>
    <row r="36" spans="1:9" ht="22.5" customHeight="1" x14ac:dyDescent="0.2">
      <c r="A36" s="31">
        <f t="shared" si="5"/>
        <v>44315</v>
      </c>
      <c r="B36" s="35">
        <f t="shared" si="0"/>
        <v>44315</v>
      </c>
      <c r="C36" s="30"/>
      <c r="D36" s="42" t="s">
        <v>16</v>
      </c>
      <c r="E36" s="78"/>
      <c r="F36" s="78"/>
      <c r="G36" s="68" t="str">
        <f t="shared" si="1"/>
        <v/>
      </c>
      <c r="H36" s="69" t="str">
        <f t="shared" si="2"/>
        <v/>
      </c>
      <c r="I36" s="41" t="str">
        <f t="shared" si="3"/>
        <v/>
      </c>
    </row>
    <row r="37" spans="1:9" ht="22.5" customHeight="1" x14ac:dyDescent="0.2">
      <c r="A37" s="31">
        <f t="shared" si="5"/>
        <v>44316</v>
      </c>
      <c r="B37" s="35">
        <f t="shared" si="0"/>
        <v>44316</v>
      </c>
      <c r="C37" s="30"/>
      <c r="D37" s="42"/>
      <c r="E37" s="77"/>
      <c r="F37" s="77"/>
      <c r="G37" s="68" t="str">
        <f t="shared" si="1"/>
        <v/>
      </c>
      <c r="H37" s="69" t="str">
        <f t="shared" si="2"/>
        <v/>
      </c>
      <c r="I37" s="41" t="str">
        <f t="shared" si="3"/>
        <v/>
      </c>
    </row>
    <row r="38" spans="1:9" ht="22.5" customHeight="1" thickBot="1" x14ac:dyDescent="0.25">
      <c r="A38" s="36">
        <f t="shared" si="5"/>
        <v>44317</v>
      </c>
      <c r="B38" s="37">
        <f t="shared" si="0"/>
        <v>44317</v>
      </c>
      <c r="C38" s="30"/>
      <c r="D38" s="42"/>
      <c r="E38" s="77"/>
      <c r="F38" s="77"/>
      <c r="G38" s="68" t="str">
        <f t="shared" si="1"/>
        <v/>
      </c>
      <c r="H38" s="69" t="str">
        <f t="shared" si="2"/>
        <v/>
      </c>
      <c r="I38" s="41" t="str">
        <f t="shared" si="3"/>
        <v/>
      </c>
    </row>
    <row r="39" spans="1:9" s="74" customFormat="1" ht="24.9" customHeight="1" thickTop="1" thickBot="1" x14ac:dyDescent="0.25">
      <c r="A39" s="103" t="s">
        <v>6</v>
      </c>
      <c r="B39" s="104"/>
      <c r="C39" s="71"/>
      <c r="D39" s="72"/>
      <c r="E39" s="32">
        <f>COUNT(E8:E38)</f>
        <v>20</v>
      </c>
      <c r="F39" s="73"/>
      <c r="G39" s="33">
        <f>SUM(G8:G38)</f>
        <v>173.5</v>
      </c>
      <c r="H39" s="33">
        <f>SUM(H8:H38)</f>
        <v>151.5</v>
      </c>
      <c r="I39" s="34">
        <f>SUM(I8:I38)</f>
        <v>1.5</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35" priority="1" stopIfTrue="1">
      <formula>WEEKDAY($A8)=1</formula>
    </cfRule>
    <cfRule type="expression" dxfId="34" priority="2" stopIfTrue="1">
      <formula>WEEKDAY($A8)=7</formula>
    </cfRule>
    <cfRule type="expression" dxfId="33" priority="3" stopIfTrue="1">
      <formula>国民の祝日($A8,0)</formula>
    </cfRule>
  </conditionalFormatting>
  <dataValidations count="1">
    <dataValidation type="list" showInputMessage="1" sqref="D8:D38" xr:uid="{00000000-0002-0000-04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41"/>
  <sheetViews>
    <sheetView tabSelected="1" view="pageBreakPreview" topLeftCell="B29" zoomScale="85" zoomScaleNormal="100" zoomScaleSheetLayoutView="85" workbookViewId="0">
      <selection activeCell="I50" sqref="I50"/>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3" width="9.44140625" style="44" customWidth="1"/>
    <col min="14" max="14" width="12.21875" style="44" customWidth="1"/>
    <col min="15" max="15" width="18.33203125" style="44" bestFit="1" customWidth="1"/>
    <col min="16" max="16384" width="9" style="44"/>
  </cols>
  <sheetData>
    <row r="1" spans="1:27" ht="23.4" x14ac:dyDescent="0.2">
      <c r="A1" s="98">
        <f>DATE(YEAR([0]!年度開始年月日),MONTH([0]!年度開始年月日)+1,DAY([0]!年度開始年月日))</f>
        <v>44317</v>
      </c>
      <c r="B1" s="99"/>
      <c r="C1" s="99"/>
      <c r="D1" s="43" t="s">
        <v>0</v>
      </c>
      <c r="F1" s="43"/>
      <c r="G1" s="43"/>
      <c r="H1" s="45" t="s">
        <v>61</v>
      </c>
      <c r="I1" s="46"/>
    </row>
    <row r="2" spans="1:27" ht="15" customHeight="1" x14ac:dyDescent="0.2">
      <c r="A2" s="47"/>
      <c r="B2" s="47" t="s">
        <v>8</v>
      </c>
      <c r="C2" s="48">
        <f>A1</f>
        <v>44317</v>
      </c>
      <c r="D2" s="49"/>
      <c r="F2" s="50"/>
      <c r="G2" s="50"/>
      <c r="H2" s="50"/>
      <c r="I2" s="46"/>
    </row>
    <row r="3" spans="1:27" ht="15" customHeight="1" x14ac:dyDescent="0.2">
      <c r="A3" s="47"/>
      <c r="B3" s="47" t="s">
        <v>7</v>
      </c>
      <c r="C3" s="48">
        <f>DATE(YEAR(C2),MONTH(C2)+1,1)-1</f>
        <v>44347</v>
      </c>
      <c r="D3" s="49"/>
      <c r="F3" s="50"/>
      <c r="G3" s="50"/>
      <c r="H3" s="50"/>
      <c r="I3" s="46"/>
    </row>
    <row r="4" spans="1:27" ht="15" customHeight="1" x14ac:dyDescent="0.2">
      <c r="A4" s="51" t="s">
        <v>62</v>
      </c>
      <c r="B4" s="52" t="s">
        <v>9</v>
      </c>
      <c r="C4" s="52" t="s">
        <v>10</v>
      </c>
      <c r="D4" s="51"/>
      <c r="E4" s="51"/>
      <c r="F4" s="51"/>
      <c r="G4" s="51"/>
      <c r="H4" s="52" t="s">
        <v>11</v>
      </c>
      <c r="I4" s="52" t="s">
        <v>12</v>
      </c>
    </row>
    <row r="5" spans="1:27" ht="43.5" customHeight="1" x14ac:dyDescent="0.2">
      <c r="A5" s="53"/>
      <c r="B5" s="54" t="str">
        <f>[0]!社員番号</f>
        <v>00249</v>
      </c>
      <c r="C5" s="55" t="str">
        <f>[0]!名前</f>
        <v>大野原　信</v>
      </c>
      <c r="D5" s="56"/>
      <c r="E5" s="57"/>
      <c r="F5" s="58"/>
      <c r="G5" s="58"/>
      <c r="H5" s="59"/>
      <c r="I5" s="55"/>
    </row>
    <row r="6" spans="1:27" ht="21" customHeight="1" thickBot="1" x14ac:dyDescent="0.25">
      <c r="G6" s="132">
        <f>C3</f>
        <v>44347</v>
      </c>
      <c r="H6" s="132"/>
      <c r="I6" s="132"/>
      <c r="N6" s="137" t="s">
        <v>130</v>
      </c>
      <c r="O6" s="137"/>
      <c r="P6" s="137" t="s">
        <v>154</v>
      </c>
      <c r="Q6" s="137"/>
      <c r="R6" s="137"/>
      <c r="V6" s="137" t="s">
        <v>153</v>
      </c>
      <c r="W6" s="137"/>
      <c r="X6" s="137" t="s">
        <v>136</v>
      </c>
      <c r="Y6" s="137"/>
      <c r="Z6" s="137"/>
    </row>
    <row r="7" spans="1:27" s="47" customFormat="1" ht="22.5" customHeight="1" x14ac:dyDescent="0.2">
      <c r="A7" s="100" t="s">
        <v>4</v>
      </c>
      <c r="B7" s="101"/>
      <c r="C7" s="61" t="s">
        <v>5</v>
      </c>
      <c r="D7" s="62" t="s">
        <v>13</v>
      </c>
      <c r="E7" s="62" t="s">
        <v>1</v>
      </c>
      <c r="F7" s="62" t="s">
        <v>2</v>
      </c>
      <c r="G7" s="63" t="s">
        <v>64</v>
      </c>
      <c r="H7" s="63" t="s">
        <v>3</v>
      </c>
      <c r="I7" s="64" t="s">
        <v>65</v>
      </c>
      <c r="N7" s="134" t="s">
        <v>109</v>
      </c>
      <c r="O7" s="134" t="s">
        <v>110</v>
      </c>
      <c r="P7" s="135" t="s">
        <v>111</v>
      </c>
      <c r="Q7" s="136" t="s">
        <v>13</v>
      </c>
      <c r="R7" s="134" t="s">
        <v>115</v>
      </c>
      <c r="V7" s="134" t="s">
        <v>109</v>
      </c>
      <c r="W7" s="134" t="s">
        <v>110</v>
      </c>
      <c r="X7" s="135" t="s">
        <v>111</v>
      </c>
      <c r="Y7" s="136" t="s">
        <v>13</v>
      </c>
      <c r="Z7" s="134" t="s">
        <v>115</v>
      </c>
    </row>
    <row r="8" spans="1:27" ht="22.5" customHeight="1" x14ac:dyDescent="0.2">
      <c r="A8" s="38">
        <f>IF($C$2,$C$2,"")</f>
        <v>44317</v>
      </c>
      <c r="B8" s="39">
        <f t="shared" ref="B8:B38" si="0">A8</f>
        <v>44317</v>
      </c>
      <c r="C8" s="30"/>
      <c r="D8" s="42"/>
      <c r="E8" s="77"/>
      <c r="F8" s="77"/>
      <c r="G8" s="68" t="str">
        <f t="shared" ref="G8:G38" si="1">IF(F8&lt;&gt;"",(FLOOR(F8,"0:10")-CEILING(E8,"0:30"))*24,"")</f>
        <v/>
      </c>
      <c r="H8" s="69" t="str">
        <f t="shared" ref="H8:H38" si="2">IF(F8&lt;&gt;"",G8-休憩時間(G8),"")</f>
        <v/>
      </c>
      <c r="I8" s="41" t="str">
        <f t="shared" ref="I8:I38" si="3">IF(F8&lt;&gt;"",IF(H8-7.5&lt;0,0,H8-7.5),"")</f>
        <v/>
      </c>
      <c r="N8" s="133" t="s">
        <v>96</v>
      </c>
      <c r="O8" s="133" t="s">
        <v>99</v>
      </c>
      <c r="P8" s="133" t="s">
        <v>112</v>
      </c>
      <c r="Q8" s="138" t="s">
        <v>113</v>
      </c>
      <c r="R8" s="139">
        <v>148</v>
      </c>
      <c r="V8" s="133" t="s">
        <v>96</v>
      </c>
      <c r="W8" s="133" t="s">
        <v>99</v>
      </c>
      <c r="X8" s="133" t="s">
        <v>112</v>
      </c>
      <c r="Y8" s="133" t="s">
        <v>113</v>
      </c>
      <c r="Z8" s="133"/>
    </row>
    <row r="9" spans="1:27" ht="22.5" customHeight="1" x14ac:dyDescent="0.2">
      <c r="A9" s="31">
        <f t="shared" ref="A9:A38" si="4">IF($C$2,A8+1,"")</f>
        <v>44318</v>
      </c>
      <c r="B9" s="35">
        <f t="shared" si="0"/>
        <v>44318</v>
      </c>
      <c r="C9" s="30"/>
      <c r="D9" s="42"/>
      <c r="E9" s="78"/>
      <c r="F9" s="78"/>
      <c r="G9" s="68" t="str">
        <f t="shared" si="1"/>
        <v/>
      </c>
      <c r="H9" s="69" t="str">
        <f t="shared" si="2"/>
        <v/>
      </c>
      <c r="I9" s="41" t="str">
        <f t="shared" si="3"/>
        <v/>
      </c>
      <c r="N9" s="133" t="s">
        <v>9</v>
      </c>
      <c r="O9" s="133" t="s">
        <v>100</v>
      </c>
      <c r="P9" s="133" t="s">
        <v>127</v>
      </c>
      <c r="Q9" s="138" t="s">
        <v>114</v>
      </c>
      <c r="R9" s="140" t="s">
        <v>93</v>
      </c>
      <c r="V9" s="133" t="s">
        <v>13</v>
      </c>
      <c r="W9" s="133" t="s">
        <v>156</v>
      </c>
      <c r="X9" s="133" t="s">
        <v>159</v>
      </c>
      <c r="Y9" s="133"/>
      <c r="Z9" s="133" t="s">
        <v>157</v>
      </c>
      <c r="AA9" s="44" t="s">
        <v>158</v>
      </c>
    </row>
    <row r="10" spans="1:27" ht="22.5" customHeight="1" x14ac:dyDescent="0.2">
      <c r="A10" s="31">
        <f t="shared" si="4"/>
        <v>44319</v>
      </c>
      <c r="B10" s="35">
        <f t="shared" si="0"/>
        <v>44319</v>
      </c>
      <c r="C10" s="30"/>
      <c r="D10" s="42"/>
      <c r="E10" s="78"/>
      <c r="F10" s="78"/>
      <c r="G10" s="68" t="str">
        <f t="shared" si="1"/>
        <v/>
      </c>
      <c r="H10" s="69" t="str">
        <f t="shared" si="2"/>
        <v/>
      </c>
      <c r="I10" s="41" t="str">
        <f t="shared" si="3"/>
        <v/>
      </c>
      <c r="N10" s="133" t="s">
        <v>98</v>
      </c>
      <c r="O10" s="133" t="s">
        <v>101</v>
      </c>
      <c r="P10" s="133" t="s">
        <v>126</v>
      </c>
      <c r="Q10" s="138"/>
      <c r="R10" s="139" t="s">
        <v>116</v>
      </c>
      <c r="AA10" s="44" t="s">
        <v>17</v>
      </c>
    </row>
    <row r="11" spans="1:27" ht="22.5" customHeight="1" x14ac:dyDescent="0.2">
      <c r="A11" s="31">
        <f t="shared" si="4"/>
        <v>44320</v>
      </c>
      <c r="B11" s="35">
        <f t="shared" si="0"/>
        <v>44320</v>
      </c>
      <c r="C11" s="30"/>
      <c r="D11" s="42"/>
      <c r="E11" s="78"/>
      <c r="F11" s="78"/>
      <c r="G11" s="68" t="str">
        <f t="shared" si="1"/>
        <v/>
      </c>
      <c r="H11" s="69" t="str">
        <f t="shared" si="2"/>
        <v/>
      </c>
      <c r="I11" s="41" t="str">
        <f t="shared" si="3"/>
        <v/>
      </c>
      <c r="N11" s="133" t="s">
        <v>97</v>
      </c>
      <c r="O11" s="133" t="s">
        <v>102</v>
      </c>
      <c r="P11" s="133" t="s">
        <v>126</v>
      </c>
      <c r="Q11" s="138"/>
      <c r="R11" s="139" t="s">
        <v>117</v>
      </c>
      <c r="AA11" s="44" t="s">
        <v>69</v>
      </c>
    </row>
    <row r="12" spans="1:27" ht="22.5" customHeight="1" x14ac:dyDescent="0.2">
      <c r="A12" s="31">
        <f t="shared" si="4"/>
        <v>44321</v>
      </c>
      <c r="B12" s="35">
        <f t="shared" si="0"/>
        <v>44321</v>
      </c>
      <c r="C12" s="30"/>
      <c r="D12" s="42"/>
      <c r="E12" s="78"/>
      <c r="F12" s="78"/>
      <c r="G12" s="68" t="str">
        <f t="shared" si="1"/>
        <v/>
      </c>
      <c r="H12" s="69" t="str">
        <f t="shared" si="2"/>
        <v/>
      </c>
      <c r="I12" s="41" t="str">
        <f t="shared" si="3"/>
        <v/>
      </c>
      <c r="N12" s="133" t="s">
        <v>120</v>
      </c>
      <c r="O12" s="133" t="s">
        <v>122</v>
      </c>
      <c r="P12" s="133" t="s">
        <v>126</v>
      </c>
      <c r="Q12" s="138"/>
      <c r="R12" s="139" t="s">
        <v>118</v>
      </c>
      <c r="V12" s="137" t="s">
        <v>160</v>
      </c>
      <c r="W12" s="137"/>
      <c r="X12" s="137" t="s">
        <v>163</v>
      </c>
      <c r="Y12" s="137"/>
      <c r="Z12" s="137"/>
      <c r="AA12" s="44" t="s">
        <v>70</v>
      </c>
    </row>
    <row r="13" spans="1:27" ht="22.5" customHeight="1" x14ac:dyDescent="0.2">
      <c r="A13" s="31">
        <f t="shared" si="4"/>
        <v>44322</v>
      </c>
      <c r="B13" s="35">
        <f t="shared" si="0"/>
        <v>44322</v>
      </c>
      <c r="C13" s="30" t="s">
        <v>95</v>
      </c>
      <c r="D13" s="42"/>
      <c r="E13" s="77">
        <v>0.375</v>
      </c>
      <c r="F13" s="77">
        <v>0.72916666666666663</v>
      </c>
      <c r="G13" s="68">
        <f t="shared" si="1"/>
        <v>8.5</v>
      </c>
      <c r="H13" s="69">
        <f t="shared" si="2"/>
        <v>7.5</v>
      </c>
      <c r="I13" s="41">
        <f t="shared" si="3"/>
        <v>0</v>
      </c>
      <c r="N13" s="133" t="s">
        <v>121</v>
      </c>
      <c r="O13" s="133" t="s">
        <v>123</v>
      </c>
      <c r="P13" s="133" t="s">
        <v>126</v>
      </c>
      <c r="Q13" s="138"/>
      <c r="R13" s="139" t="s">
        <v>119</v>
      </c>
      <c r="V13" s="134" t="s">
        <v>109</v>
      </c>
      <c r="W13" s="134" t="s">
        <v>110</v>
      </c>
      <c r="X13" s="135" t="s">
        <v>111</v>
      </c>
      <c r="Y13" s="136" t="s">
        <v>13</v>
      </c>
      <c r="Z13" s="134" t="s">
        <v>115</v>
      </c>
      <c r="AA13" s="44" t="s">
        <v>18</v>
      </c>
    </row>
    <row r="14" spans="1:27" ht="22.5" customHeight="1" x14ac:dyDescent="0.2">
      <c r="A14" s="31">
        <f t="shared" si="4"/>
        <v>44323</v>
      </c>
      <c r="B14" s="35">
        <f t="shared" si="0"/>
        <v>44323</v>
      </c>
      <c r="C14" s="30" t="s">
        <v>95</v>
      </c>
      <c r="D14" s="42"/>
      <c r="E14" s="77">
        <v>0.375</v>
      </c>
      <c r="F14" s="77">
        <v>0.72916666666666663</v>
      </c>
      <c r="G14" s="68">
        <f t="shared" si="1"/>
        <v>8.5</v>
      </c>
      <c r="H14" s="69">
        <f t="shared" si="2"/>
        <v>7.5</v>
      </c>
      <c r="I14" s="41">
        <f t="shared" si="3"/>
        <v>0</v>
      </c>
      <c r="N14" s="133" t="s">
        <v>103</v>
      </c>
      <c r="O14" s="133" t="s">
        <v>107</v>
      </c>
      <c r="P14" s="133" t="s">
        <v>125</v>
      </c>
      <c r="Q14" s="138"/>
      <c r="R14" s="133" t="s">
        <v>105</v>
      </c>
      <c r="V14" s="133" t="s">
        <v>96</v>
      </c>
      <c r="W14" s="133" t="s">
        <v>99</v>
      </c>
      <c r="X14" s="133" t="s">
        <v>112</v>
      </c>
      <c r="Y14" s="133" t="s">
        <v>113</v>
      </c>
      <c r="Z14" s="133"/>
      <c r="AA14" s="44" t="s">
        <v>71</v>
      </c>
    </row>
    <row r="15" spans="1:27" ht="22.5" customHeight="1" x14ac:dyDescent="0.2">
      <c r="A15" s="31">
        <f t="shared" si="4"/>
        <v>44324</v>
      </c>
      <c r="B15" s="35">
        <f t="shared" si="0"/>
        <v>44324</v>
      </c>
      <c r="C15" s="30"/>
      <c r="D15" s="42"/>
      <c r="E15" s="77"/>
      <c r="F15" s="77"/>
      <c r="G15" s="68" t="str">
        <f t="shared" si="1"/>
        <v/>
      </c>
      <c r="H15" s="69" t="str">
        <f t="shared" si="2"/>
        <v/>
      </c>
      <c r="I15" s="41" t="str">
        <f t="shared" si="3"/>
        <v/>
      </c>
      <c r="N15" s="133" t="s">
        <v>104</v>
      </c>
      <c r="O15" s="133" t="s">
        <v>108</v>
      </c>
      <c r="P15" s="133" t="s">
        <v>124</v>
      </c>
      <c r="Q15" s="138"/>
      <c r="R15" s="133" t="s">
        <v>106</v>
      </c>
      <c r="S15" s="142">
        <v>1</v>
      </c>
      <c r="V15" s="133" t="s">
        <v>161</v>
      </c>
      <c r="W15" s="133" t="s">
        <v>162</v>
      </c>
      <c r="X15" s="133" t="s">
        <v>159</v>
      </c>
      <c r="Y15" s="133"/>
      <c r="Z15" s="133" t="s">
        <v>157</v>
      </c>
      <c r="AA15" s="44" t="s">
        <v>72</v>
      </c>
    </row>
    <row r="16" spans="1:27" ht="22.5" customHeight="1" x14ac:dyDescent="0.2">
      <c r="A16" s="31">
        <f t="shared" si="4"/>
        <v>44325</v>
      </c>
      <c r="B16" s="35">
        <f t="shared" si="0"/>
        <v>44325</v>
      </c>
      <c r="C16" s="30"/>
      <c r="D16" s="42"/>
      <c r="E16" s="77"/>
      <c r="F16" s="77"/>
      <c r="G16" s="68" t="str">
        <f t="shared" si="1"/>
        <v/>
      </c>
      <c r="H16" s="69" t="str">
        <f t="shared" si="2"/>
        <v/>
      </c>
      <c r="I16" s="41" t="str">
        <f t="shared" si="3"/>
        <v/>
      </c>
      <c r="N16" s="133" t="s">
        <v>164</v>
      </c>
      <c r="O16" s="133" t="s">
        <v>165</v>
      </c>
      <c r="P16" s="133" t="s">
        <v>112</v>
      </c>
      <c r="Q16" s="138" t="s">
        <v>150</v>
      </c>
      <c r="R16" s="139"/>
      <c r="S16" s="142"/>
      <c r="AA16" s="44" t="s">
        <v>19</v>
      </c>
    </row>
    <row r="17" spans="1:27" ht="22.5" customHeight="1" x14ac:dyDescent="0.2">
      <c r="A17" s="31">
        <f t="shared" si="4"/>
        <v>44326</v>
      </c>
      <c r="B17" s="35">
        <f t="shared" si="0"/>
        <v>44326</v>
      </c>
      <c r="C17" s="30" t="s">
        <v>95</v>
      </c>
      <c r="D17" s="42"/>
      <c r="E17" s="77">
        <v>0.375</v>
      </c>
      <c r="F17" s="77">
        <v>0.72916666666666663</v>
      </c>
      <c r="G17" s="68">
        <f t="shared" si="1"/>
        <v>8.5</v>
      </c>
      <c r="H17" s="69">
        <f t="shared" si="2"/>
        <v>7.5</v>
      </c>
      <c r="I17" s="41">
        <f t="shared" si="3"/>
        <v>0</v>
      </c>
      <c r="AA17" s="74" t="s">
        <v>73</v>
      </c>
    </row>
    <row r="18" spans="1:27" ht="22.5" customHeight="1" x14ac:dyDescent="0.2">
      <c r="A18" s="31">
        <f t="shared" si="4"/>
        <v>44327</v>
      </c>
      <c r="B18" s="35">
        <f t="shared" si="0"/>
        <v>44327</v>
      </c>
      <c r="C18" s="30" t="s">
        <v>95</v>
      </c>
      <c r="D18" s="42"/>
      <c r="E18" s="77">
        <v>0.375</v>
      </c>
      <c r="F18" s="77">
        <v>0.72916666666666663</v>
      </c>
      <c r="G18" s="68">
        <f t="shared" si="1"/>
        <v>8.5</v>
      </c>
      <c r="H18" s="69">
        <f t="shared" si="2"/>
        <v>7.5</v>
      </c>
      <c r="I18" s="41">
        <f t="shared" si="3"/>
        <v>0</v>
      </c>
      <c r="AA18" s="74" t="s">
        <v>74</v>
      </c>
    </row>
    <row r="19" spans="1:27" ht="22.5" customHeight="1" x14ac:dyDescent="0.2">
      <c r="A19" s="31">
        <f t="shared" si="4"/>
        <v>44328</v>
      </c>
      <c r="B19" s="35">
        <f t="shared" si="0"/>
        <v>44328</v>
      </c>
      <c r="C19" s="30" t="s">
        <v>95</v>
      </c>
      <c r="D19" s="42"/>
      <c r="E19" s="77">
        <v>0.375</v>
      </c>
      <c r="F19" s="77">
        <v>0.72916666666666663</v>
      </c>
      <c r="G19" s="68">
        <f t="shared" si="1"/>
        <v>8.5</v>
      </c>
      <c r="H19" s="69">
        <f t="shared" si="2"/>
        <v>7.5</v>
      </c>
      <c r="I19" s="41">
        <f t="shared" si="3"/>
        <v>0</v>
      </c>
      <c r="N19" s="137" t="s">
        <v>129</v>
      </c>
      <c r="O19" s="137"/>
      <c r="P19" s="137" t="s">
        <v>155</v>
      </c>
      <c r="Q19" s="137"/>
      <c r="R19" s="137"/>
      <c r="S19" s="142" t="s">
        <v>148</v>
      </c>
      <c r="AA19" s="44" t="s">
        <v>14</v>
      </c>
    </row>
    <row r="20" spans="1:27" ht="22.5" customHeight="1" x14ac:dyDescent="0.2">
      <c r="A20" s="31">
        <f t="shared" si="4"/>
        <v>44329</v>
      </c>
      <c r="B20" s="35">
        <f t="shared" si="0"/>
        <v>44329</v>
      </c>
      <c r="C20" s="30" t="s">
        <v>95</v>
      </c>
      <c r="D20" s="42"/>
      <c r="E20" s="77">
        <v>0.375</v>
      </c>
      <c r="F20" s="77">
        <v>0.72916666666666663</v>
      </c>
      <c r="G20" s="68">
        <f t="shared" si="1"/>
        <v>8.5</v>
      </c>
      <c r="H20" s="69">
        <f t="shared" si="2"/>
        <v>7.5</v>
      </c>
      <c r="I20" s="41">
        <f t="shared" si="3"/>
        <v>0</v>
      </c>
      <c r="N20" s="134" t="s">
        <v>109</v>
      </c>
      <c r="O20" s="134" t="s">
        <v>110</v>
      </c>
      <c r="P20" s="135" t="s">
        <v>111</v>
      </c>
      <c r="Q20" s="136" t="s">
        <v>13</v>
      </c>
      <c r="R20" s="134" t="s">
        <v>115</v>
      </c>
      <c r="AA20" s="44" t="s">
        <v>152</v>
      </c>
    </row>
    <row r="21" spans="1:27" ht="22.5" customHeight="1" x14ac:dyDescent="0.2">
      <c r="A21" s="31">
        <f t="shared" si="4"/>
        <v>44330</v>
      </c>
      <c r="B21" s="35">
        <f t="shared" si="0"/>
        <v>44330</v>
      </c>
      <c r="C21" s="30" t="s">
        <v>95</v>
      </c>
      <c r="D21" s="42"/>
      <c r="E21" s="77">
        <v>0.375</v>
      </c>
      <c r="F21" s="77">
        <v>0.72916666666666663</v>
      </c>
      <c r="G21" s="68">
        <f t="shared" si="1"/>
        <v>8.5</v>
      </c>
      <c r="H21" s="69">
        <f t="shared" si="2"/>
        <v>7.5</v>
      </c>
      <c r="I21" s="41">
        <f t="shared" si="3"/>
        <v>0</v>
      </c>
      <c r="N21" s="133" t="s">
        <v>96</v>
      </c>
      <c r="O21" s="133" t="s">
        <v>99</v>
      </c>
      <c r="P21" s="133" t="s">
        <v>112</v>
      </c>
      <c r="Q21" s="138" t="s">
        <v>113</v>
      </c>
      <c r="R21" s="141">
        <v>148</v>
      </c>
      <c r="AA21" s="44" t="s">
        <v>16</v>
      </c>
    </row>
    <row r="22" spans="1:27" ht="22.5" customHeight="1" x14ac:dyDescent="0.2">
      <c r="A22" s="31">
        <f t="shared" si="4"/>
        <v>44331</v>
      </c>
      <c r="B22" s="35">
        <f t="shared" si="0"/>
        <v>44331</v>
      </c>
      <c r="C22" s="30"/>
      <c r="D22" s="42"/>
      <c r="E22" s="77"/>
      <c r="F22" s="77"/>
      <c r="G22" s="68" t="str">
        <f t="shared" si="1"/>
        <v/>
      </c>
      <c r="H22" s="69" t="str">
        <f t="shared" si="2"/>
        <v/>
      </c>
      <c r="I22" s="41" t="str">
        <f t="shared" si="3"/>
        <v/>
      </c>
      <c r="N22" s="133" t="s">
        <v>128</v>
      </c>
      <c r="O22" s="133" t="s">
        <v>134</v>
      </c>
      <c r="P22" s="133" t="s">
        <v>144</v>
      </c>
      <c r="Q22" s="138" t="s">
        <v>114</v>
      </c>
      <c r="R22" s="144" t="s">
        <v>145</v>
      </c>
    </row>
    <row r="23" spans="1:27" ht="22.5" customHeight="1" x14ac:dyDescent="0.2">
      <c r="A23" s="31">
        <f t="shared" si="4"/>
        <v>44332</v>
      </c>
      <c r="B23" s="35">
        <f t="shared" si="0"/>
        <v>44332</v>
      </c>
      <c r="C23" s="30"/>
      <c r="D23" s="42"/>
      <c r="E23" s="78"/>
      <c r="F23" s="78"/>
      <c r="G23" s="68" t="str">
        <f t="shared" si="1"/>
        <v/>
      </c>
      <c r="H23" s="69" t="str">
        <f t="shared" si="2"/>
        <v/>
      </c>
      <c r="I23" s="41" t="str">
        <f t="shared" si="3"/>
        <v/>
      </c>
      <c r="N23" s="133" t="s">
        <v>5</v>
      </c>
      <c r="O23" s="133" t="s">
        <v>135</v>
      </c>
      <c r="P23" s="133" t="s">
        <v>143</v>
      </c>
      <c r="Q23" s="138"/>
      <c r="R23" s="141" t="s">
        <v>95</v>
      </c>
    </row>
    <row r="24" spans="1:27" ht="22.5" customHeight="1" x14ac:dyDescent="0.2">
      <c r="A24" s="31">
        <f t="shared" si="4"/>
        <v>44333</v>
      </c>
      <c r="B24" s="35">
        <f t="shared" si="0"/>
        <v>44333</v>
      </c>
      <c r="C24" s="30" t="s">
        <v>95</v>
      </c>
      <c r="D24" s="42"/>
      <c r="E24" s="77">
        <v>0.375</v>
      </c>
      <c r="F24" s="77">
        <v>0.72916666666666663</v>
      </c>
      <c r="G24" s="68">
        <f t="shared" si="1"/>
        <v>8.5</v>
      </c>
      <c r="H24" s="69">
        <f t="shared" si="2"/>
        <v>7.5</v>
      </c>
      <c r="I24" s="41">
        <f t="shared" si="3"/>
        <v>0</v>
      </c>
      <c r="N24" s="133" t="s">
        <v>13</v>
      </c>
      <c r="O24" s="133" t="s">
        <v>136</v>
      </c>
      <c r="P24" s="133" t="s">
        <v>143</v>
      </c>
      <c r="Q24" s="138"/>
      <c r="R24" s="141" t="s">
        <v>19</v>
      </c>
    </row>
    <row r="25" spans="1:27" ht="22.5" customHeight="1" x14ac:dyDescent="0.2">
      <c r="A25" s="31">
        <f t="shared" si="4"/>
        <v>44334</v>
      </c>
      <c r="B25" s="35">
        <f t="shared" si="0"/>
        <v>44334</v>
      </c>
      <c r="C25" s="30" t="s">
        <v>95</v>
      </c>
      <c r="D25" s="42"/>
      <c r="E25" s="77">
        <v>0.375</v>
      </c>
      <c r="F25" s="77">
        <v>0.72916666666666663</v>
      </c>
      <c r="G25" s="68">
        <f t="shared" si="1"/>
        <v>8.5</v>
      </c>
      <c r="H25" s="69">
        <f t="shared" si="2"/>
        <v>7.5</v>
      </c>
      <c r="I25" s="41">
        <f t="shared" si="3"/>
        <v>0</v>
      </c>
      <c r="N25" s="133" t="s">
        <v>131</v>
      </c>
      <c r="O25" s="133" t="s">
        <v>137</v>
      </c>
      <c r="P25" s="133" t="s">
        <v>142</v>
      </c>
      <c r="Q25" s="138"/>
      <c r="R25" s="145">
        <v>0.375</v>
      </c>
    </row>
    <row r="26" spans="1:27" ht="22.5" customHeight="1" x14ac:dyDescent="0.2">
      <c r="A26" s="31">
        <f t="shared" si="4"/>
        <v>44335</v>
      </c>
      <c r="B26" s="35">
        <f t="shared" si="0"/>
        <v>44335</v>
      </c>
      <c r="C26" s="30" t="s">
        <v>95</v>
      </c>
      <c r="D26" s="42"/>
      <c r="E26" s="77">
        <v>0.375</v>
      </c>
      <c r="F26" s="77">
        <v>0.72916666666666663</v>
      </c>
      <c r="G26" s="68">
        <f t="shared" si="1"/>
        <v>8.5</v>
      </c>
      <c r="H26" s="69">
        <f t="shared" si="2"/>
        <v>7.5</v>
      </c>
      <c r="I26" s="41">
        <f t="shared" si="3"/>
        <v>0</v>
      </c>
      <c r="N26" s="133" t="s">
        <v>132</v>
      </c>
      <c r="O26" s="133" t="s">
        <v>138</v>
      </c>
      <c r="P26" s="133" t="s">
        <v>142</v>
      </c>
      <c r="Q26" s="138"/>
      <c r="R26" s="145">
        <v>0.72916666666666663</v>
      </c>
    </row>
    <row r="27" spans="1:27" ht="22.5" customHeight="1" x14ac:dyDescent="0.2">
      <c r="A27" s="31">
        <f t="shared" si="4"/>
        <v>44336</v>
      </c>
      <c r="B27" s="35">
        <f t="shared" si="0"/>
        <v>44336</v>
      </c>
      <c r="C27" s="30" t="s">
        <v>95</v>
      </c>
      <c r="D27" s="42"/>
      <c r="E27" s="77">
        <v>0.375</v>
      </c>
      <c r="F27" s="77">
        <v>0.72916666666666663</v>
      </c>
      <c r="G27" s="68">
        <f t="shared" si="1"/>
        <v>8.5</v>
      </c>
      <c r="H27" s="69">
        <f t="shared" si="2"/>
        <v>7.5</v>
      </c>
      <c r="I27" s="41">
        <f t="shared" si="3"/>
        <v>0</v>
      </c>
      <c r="N27" s="133" t="s">
        <v>133</v>
      </c>
      <c r="O27" s="133" t="s">
        <v>139</v>
      </c>
      <c r="P27" s="133" t="s">
        <v>146</v>
      </c>
      <c r="Q27" s="138"/>
      <c r="R27" s="146">
        <v>8.5</v>
      </c>
      <c r="S27" s="44" t="s">
        <v>177</v>
      </c>
    </row>
    <row r="28" spans="1:27" ht="22.5" customHeight="1" x14ac:dyDescent="0.2">
      <c r="A28" s="31">
        <f t="shared" si="4"/>
        <v>44337</v>
      </c>
      <c r="B28" s="35">
        <f t="shared" si="0"/>
        <v>44337</v>
      </c>
      <c r="C28" s="30" t="s">
        <v>95</v>
      </c>
      <c r="D28" s="42"/>
      <c r="E28" s="77">
        <v>0.375</v>
      </c>
      <c r="F28" s="77">
        <v>0.72916666666666663</v>
      </c>
      <c r="G28" s="68">
        <f t="shared" si="1"/>
        <v>8.5</v>
      </c>
      <c r="H28" s="69">
        <f t="shared" si="2"/>
        <v>7.5</v>
      </c>
      <c r="I28" s="41">
        <f t="shared" si="3"/>
        <v>0</v>
      </c>
      <c r="N28" s="133" t="s">
        <v>3</v>
      </c>
      <c r="O28" s="133" t="s">
        <v>140</v>
      </c>
      <c r="P28" s="133" t="s">
        <v>146</v>
      </c>
      <c r="Q28" s="138"/>
      <c r="R28" s="146">
        <v>7.5</v>
      </c>
      <c r="S28" s="44" t="s">
        <v>177</v>
      </c>
    </row>
    <row r="29" spans="1:27" ht="22.5" customHeight="1" x14ac:dyDescent="0.2">
      <c r="A29" s="31">
        <f t="shared" si="4"/>
        <v>44338</v>
      </c>
      <c r="B29" s="35">
        <f t="shared" si="0"/>
        <v>44338</v>
      </c>
      <c r="C29" s="30"/>
      <c r="D29" s="42"/>
      <c r="E29" s="77"/>
      <c r="F29" s="77"/>
      <c r="G29" s="68" t="str">
        <f t="shared" si="1"/>
        <v/>
      </c>
      <c r="H29" s="69" t="str">
        <f t="shared" si="2"/>
        <v/>
      </c>
      <c r="I29" s="41" t="str">
        <f t="shared" si="3"/>
        <v/>
      </c>
      <c r="N29" s="133" t="s">
        <v>65</v>
      </c>
      <c r="O29" s="133" t="s">
        <v>141</v>
      </c>
      <c r="P29" s="133" t="s">
        <v>146</v>
      </c>
      <c r="Q29" s="138"/>
      <c r="R29" s="144" t="s">
        <v>147</v>
      </c>
      <c r="S29" s="44" t="s">
        <v>177</v>
      </c>
    </row>
    <row r="30" spans="1:27" ht="22.5" customHeight="1" x14ac:dyDescent="0.2">
      <c r="A30" s="31">
        <f t="shared" si="4"/>
        <v>44339</v>
      </c>
      <c r="B30" s="35">
        <f t="shared" si="0"/>
        <v>44339</v>
      </c>
      <c r="C30" s="30"/>
      <c r="D30" s="42"/>
      <c r="E30" s="78"/>
      <c r="F30" s="78"/>
      <c r="G30" s="68" t="str">
        <f t="shared" si="1"/>
        <v/>
      </c>
      <c r="H30" s="69" t="str">
        <f t="shared" si="2"/>
        <v/>
      </c>
      <c r="I30" s="41" t="str">
        <f t="shared" si="3"/>
        <v/>
      </c>
      <c r="N30" s="133" t="s">
        <v>149</v>
      </c>
      <c r="O30" s="143" t="s">
        <v>151</v>
      </c>
      <c r="P30" s="133" t="s">
        <v>112</v>
      </c>
      <c r="Q30" s="138" t="s">
        <v>150</v>
      </c>
      <c r="R30" s="141">
        <v>148</v>
      </c>
    </row>
    <row r="31" spans="1:27" ht="22.5" customHeight="1" x14ac:dyDescent="0.2">
      <c r="A31" s="31">
        <f t="shared" si="4"/>
        <v>44340</v>
      </c>
      <c r="B31" s="35">
        <f t="shared" si="0"/>
        <v>44340</v>
      </c>
      <c r="C31" s="30" t="s">
        <v>95</v>
      </c>
      <c r="D31" s="42"/>
      <c r="E31" s="77">
        <v>0.375</v>
      </c>
      <c r="F31" s="77">
        <v>0.75</v>
      </c>
      <c r="G31" s="68">
        <f t="shared" si="1"/>
        <v>9</v>
      </c>
      <c r="H31" s="69">
        <f t="shared" si="2"/>
        <v>7.5</v>
      </c>
      <c r="I31" s="41">
        <f t="shared" si="3"/>
        <v>0</v>
      </c>
      <c r="N31" s="133" t="s">
        <v>166</v>
      </c>
      <c r="O31" s="133" t="s">
        <v>170</v>
      </c>
      <c r="P31" s="133" t="s">
        <v>112</v>
      </c>
      <c r="Q31" s="133"/>
      <c r="R31" s="146">
        <v>18</v>
      </c>
    </row>
    <row r="32" spans="1:27" ht="22.5" customHeight="1" x14ac:dyDescent="0.2">
      <c r="A32" s="31">
        <f t="shared" si="4"/>
        <v>44341</v>
      </c>
      <c r="B32" s="35">
        <f t="shared" si="0"/>
        <v>44341</v>
      </c>
      <c r="C32" s="30" t="s">
        <v>95</v>
      </c>
      <c r="D32" s="42"/>
      <c r="E32" s="77">
        <v>0.375</v>
      </c>
      <c r="F32" s="77">
        <v>0.72916666666666663</v>
      </c>
      <c r="G32" s="68">
        <f t="shared" si="1"/>
        <v>8.5</v>
      </c>
      <c r="H32" s="69">
        <f t="shared" si="2"/>
        <v>7.5</v>
      </c>
      <c r="I32" s="41">
        <f t="shared" si="3"/>
        <v>0</v>
      </c>
      <c r="N32" s="147" t="s">
        <v>167</v>
      </c>
      <c r="O32" s="147" t="s">
        <v>171</v>
      </c>
      <c r="P32" s="147" t="s">
        <v>146</v>
      </c>
      <c r="Q32" s="147"/>
      <c r="R32" s="148" t="s">
        <v>174</v>
      </c>
      <c r="S32" s="44" t="s">
        <v>178</v>
      </c>
    </row>
    <row r="33" spans="1:19" ht="22.5" customHeight="1" x14ac:dyDescent="0.2">
      <c r="A33" s="31">
        <f t="shared" si="4"/>
        <v>44342</v>
      </c>
      <c r="B33" s="35">
        <f t="shared" si="0"/>
        <v>44342</v>
      </c>
      <c r="C33" s="30" t="s">
        <v>95</v>
      </c>
      <c r="D33" s="42"/>
      <c r="E33" s="77">
        <v>0.375</v>
      </c>
      <c r="F33" s="77">
        <v>0.72916666666666663</v>
      </c>
      <c r="G33" s="68">
        <f t="shared" si="1"/>
        <v>8.5</v>
      </c>
      <c r="H33" s="69">
        <f t="shared" si="2"/>
        <v>7.5</v>
      </c>
      <c r="I33" s="41">
        <f t="shared" si="3"/>
        <v>0</v>
      </c>
      <c r="N33" s="147" t="s">
        <v>169</v>
      </c>
      <c r="O33" s="147" t="s">
        <v>172</v>
      </c>
      <c r="P33" s="147" t="s">
        <v>146</v>
      </c>
      <c r="Q33" s="147"/>
      <c r="R33" s="148" t="s">
        <v>175</v>
      </c>
      <c r="S33" s="44" t="s">
        <v>178</v>
      </c>
    </row>
    <row r="34" spans="1:19" ht="22.5" customHeight="1" x14ac:dyDescent="0.2">
      <c r="A34" s="31">
        <f t="shared" si="4"/>
        <v>44343</v>
      </c>
      <c r="B34" s="35">
        <f t="shared" si="0"/>
        <v>44343</v>
      </c>
      <c r="C34" s="30" t="s">
        <v>95</v>
      </c>
      <c r="D34" s="42"/>
      <c r="E34" s="77">
        <v>0.375</v>
      </c>
      <c r="F34" s="77">
        <v>0.72916666666666663</v>
      </c>
      <c r="G34" s="68">
        <f t="shared" si="1"/>
        <v>8.5</v>
      </c>
      <c r="H34" s="69">
        <f t="shared" si="2"/>
        <v>7.5</v>
      </c>
      <c r="I34" s="41">
        <f t="shared" si="3"/>
        <v>0</v>
      </c>
      <c r="N34" s="147" t="s">
        <v>168</v>
      </c>
      <c r="O34" s="147" t="s">
        <v>173</v>
      </c>
      <c r="P34" s="147" t="s">
        <v>146</v>
      </c>
      <c r="Q34" s="147"/>
      <c r="R34" s="148" t="s">
        <v>176</v>
      </c>
      <c r="S34" s="44" t="s">
        <v>178</v>
      </c>
    </row>
    <row r="35" spans="1:19" ht="22.5" customHeight="1" x14ac:dyDescent="0.2">
      <c r="A35" s="31">
        <f t="shared" si="4"/>
        <v>44344</v>
      </c>
      <c r="B35" s="35">
        <f t="shared" si="0"/>
        <v>44344</v>
      </c>
      <c r="C35" s="30" t="s">
        <v>95</v>
      </c>
      <c r="D35" s="42"/>
      <c r="E35" s="77">
        <v>0.375</v>
      </c>
      <c r="F35" s="77">
        <v>0.72916666666666663</v>
      </c>
      <c r="G35" s="68">
        <f t="shared" si="1"/>
        <v>8.5</v>
      </c>
      <c r="H35" s="69">
        <f t="shared" si="2"/>
        <v>7.5</v>
      </c>
      <c r="I35" s="41">
        <f t="shared" si="3"/>
        <v>0</v>
      </c>
    </row>
    <row r="36" spans="1:19" ht="22.5" customHeight="1" x14ac:dyDescent="0.2">
      <c r="A36" s="31">
        <f t="shared" si="4"/>
        <v>44345</v>
      </c>
      <c r="B36" s="35">
        <f t="shared" si="0"/>
        <v>44345</v>
      </c>
      <c r="C36" s="30"/>
      <c r="D36" s="42"/>
      <c r="E36" s="77"/>
      <c r="F36" s="77"/>
      <c r="G36" s="68" t="str">
        <f t="shared" si="1"/>
        <v/>
      </c>
      <c r="H36" s="69" t="str">
        <f t="shared" si="2"/>
        <v/>
      </c>
      <c r="I36" s="41" t="str">
        <f t="shared" si="3"/>
        <v/>
      </c>
    </row>
    <row r="37" spans="1:19" ht="22.5" customHeight="1" x14ac:dyDescent="0.2">
      <c r="A37" s="31">
        <f t="shared" si="4"/>
        <v>44346</v>
      </c>
      <c r="B37" s="35">
        <f t="shared" si="0"/>
        <v>44346</v>
      </c>
      <c r="C37" s="30"/>
      <c r="D37" s="42"/>
      <c r="E37" s="78"/>
      <c r="F37" s="78"/>
      <c r="G37" s="68" t="str">
        <f t="shared" si="1"/>
        <v/>
      </c>
      <c r="H37" s="69" t="str">
        <f t="shared" si="2"/>
        <v/>
      </c>
      <c r="I37" s="41" t="str">
        <f t="shared" si="3"/>
        <v/>
      </c>
    </row>
    <row r="38" spans="1:19" ht="22.5" customHeight="1" thickBot="1" x14ac:dyDescent="0.25">
      <c r="A38" s="36">
        <f t="shared" si="4"/>
        <v>44347</v>
      </c>
      <c r="B38" s="37">
        <f t="shared" si="0"/>
        <v>44347</v>
      </c>
      <c r="C38" s="30" t="s">
        <v>95</v>
      </c>
      <c r="D38" s="42"/>
      <c r="E38" s="78">
        <v>0.375</v>
      </c>
      <c r="F38" s="78">
        <v>0.72916666666666663</v>
      </c>
      <c r="G38" s="68">
        <f t="shared" si="1"/>
        <v>8.5</v>
      </c>
      <c r="H38" s="69">
        <f t="shared" si="2"/>
        <v>7.5</v>
      </c>
      <c r="I38" s="41">
        <f t="shared" si="3"/>
        <v>0</v>
      </c>
      <c r="O38" s="74"/>
      <c r="P38" s="74"/>
    </row>
    <row r="39" spans="1:19" s="74" customFormat="1" ht="24.9" customHeight="1" thickTop="1" thickBot="1" x14ac:dyDescent="0.25">
      <c r="A39" s="103" t="s">
        <v>6</v>
      </c>
      <c r="B39" s="104"/>
      <c r="C39" s="71"/>
      <c r="D39" s="72"/>
      <c r="E39" s="32">
        <f>COUNT(E8:E38)</f>
        <v>18</v>
      </c>
      <c r="F39" s="73"/>
      <c r="G39" s="33">
        <f>SUM(G8:G38)</f>
        <v>153.5</v>
      </c>
      <c r="H39" s="33">
        <f>SUM(H8:H38)</f>
        <v>135</v>
      </c>
      <c r="I39" s="34">
        <f>SUM(I8:I38)</f>
        <v>0</v>
      </c>
    </row>
    <row r="40" spans="1:19" s="74" customFormat="1" ht="15.75" customHeight="1" x14ac:dyDescent="0.2">
      <c r="A40" s="51"/>
      <c r="B40" s="51"/>
      <c r="C40" s="75"/>
      <c r="D40" s="75"/>
      <c r="E40" s="76"/>
      <c r="F40" s="76"/>
      <c r="G40" s="76"/>
      <c r="H40" s="76"/>
      <c r="I40" s="76"/>
      <c r="O40" s="44"/>
      <c r="P40" s="44"/>
    </row>
    <row r="41" spans="1:19" ht="20.399999999999999" x14ac:dyDescent="0.2">
      <c r="A41" s="102" t="s">
        <v>63</v>
      </c>
      <c r="B41" s="102"/>
      <c r="C41" s="102"/>
      <c r="D41" s="102"/>
      <c r="E41" s="102"/>
      <c r="F41" s="102"/>
      <c r="G41" s="102"/>
      <c r="H41" s="102"/>
      <c r="I41" s="102"/>
    </row>
  </sheetData>
  <mergeCells count="5">
    <mergeCell ref="G6:I6"/>
    <mergeCell ref="A1:C1"/>
    <mergeCell ref="A7:B7"/>
    <mergeCell ref="A41:I41"/>
    <mergeCell ref="A39:B39"/>
  </mergeCells>
  <phoneticPr fontId="3"/>
  <conditionalFormatting sqref="A8:B38">
    <cfRule type="expression" dxfId="32" priority="1" stopIfTrue="1">
      <formula>WEEKDAY($A8)=1</formula>
    </cfRule>
    <cfRule type="expression" dxfId="31" priority="2" stopIfTrue="1">
      <formula>WEEKDAY($A8)=7</formula>
    </cfRule>
    <cfRule type="expression" dxfId="30" priority="3" stopIfTrue="1">
      <formula>国民の祝日($A8,0)</formula>
    </cfRule>
  </conditionalFormatting>
  <dataValidations count="1">
    <dataValidation type="list" showInputMessage="1" sqref="D8:D38" xr:uid="{00000000-0002-0000-05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R41"/>
  <sheetViews>
    <sheetView view="pageBreakPreview" zoomScale="85" zoomScaleNormal="100" zoomScaleSheetLayoutView="85" workbookViewId="0">
      <selection activeCell="C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DATE(YEAR([0]!年度開始年月日),MONTH([0]!年度開始年月日)+2,DAY([0]!年度開始年月日))</f>
        <v>44348</v>
      </c>
      <c r="B1" s="99"/>
      <c r="C1" s="99"/>
      <c r="D1" s="43" t="s">
        <v>0</v>
      </c>
      <c r="F1" s="43"/>
      <c r="G1" s="43"/>
      <c r="H1" s="45" t="s">
        <v>61</v>
      </c>
      <c r="I1" s="46"/>
    </row>
    <row r="2" spans="1:18" ht="15" customHeight="1" x14ac:dyDescent="0.2">
      <c r="A2" s="47"/>
      <c r="B2" s="47" t="s">
        <v>8</v>
      </c>
      <c r="C2" s="48">
        <f>A1</f>
        <v>44348</v>
      </c>
      <c r="D2" s="49"/>
      <c r="F2" s="50"/>
      <c r="G2" s="50"/>
      <c r="H2" s="50"/>
      <c r="I2" s="46"/>
    </row>
    <row r="3" spans="1:18" ht="15" customHeight="1" x14ac:dyDescent="0.2">
      <c r="A3" s="47"/>
      <c r="B3" s="47" t="s">
        <v>7</v>
      </c>
      <c r="C3" s="48">
        <f>DATE(YEAR(C2),MONTH(C2)+1,1)-1</f>
        <v>44377</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44377</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44348</v>
      </c>
      <c r="B8" s="39">
        <f t="shared" ref="B8:B38" si="0">A8</f>
        <v>44348</v>
      </c>
      <c r="C8" s="30"/>
      <c r="D8" s="42"/>
      <c r="E8" s="77"/>
      <c r="F8" s="77"/>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44349</v>
      </c>
      <c r="B9" s="35">
        <f t="shared" si="0"/>
        <v>44349</v>
      </c>
      <c r="C9" s="30"/>
      <c r="D9" s="42"/>
      <c r="E9" s="77"/>
      <c r="F9" s="77"/>
      <c r="G9" s="68" t="str">
        <f t="shared" si="1"/>
        <v/>
      </c>
      <c r="H9" s="69" t="str">
        <f t="shared" si="2"/>
        <v/>
      </c>
      <c r="I9" s="41" t="str">
        <f t="shared" si="3"/>
        <v/>
      </c>
      <c r="Q9" s="65"/>
      <c r="R9" s="47"/>
    </row>
    <row r="10" spans="1:18" ht="22.5" customHeight="1" x14ac:dyDescent="0.2">
      <c r="A10" s="31">
        <f t="shared" si="4"/>
        <v>44350</v>
      </c>
      <c r="B10" s="35">
        <f t="shared" si="0"/>
        <v>44350</v>
      </c>
      <c r="C10" s="30"/>
      <c r="D10" s="42"/>
      <c r="E10" s="77"/>
      <c r="F10" s="77"/>
      <c r="G10" s="68" t="str">
        <f t="shared" si="1"/>
        <v/>
      </c>
      <c r="H10" s="69" t="str">
        <f t="shared" si="2"/>
        <v/>
      </c>
      <c r="I10" s="41" t="str">
        <f t="shared" si="3"/>
        <v/>
      </c>
      <c r="Q10" s="65"/>
      <c r="R10" s="47"/>
    </row>
    <row r="11" spans="1:18" ht="22.5" customHeight="1" x14ac:dyDescent="0.2">
      <c r="A11" s="31">
        <f t="shared" si="4"/>
        <v>44351</v>
      </c>
      <c r="B11" s="35">
        <f t="shared" si="0"/>
        <v>44351</v>
      </c>
      <c r="C11" s="30"/>
      <c r="D11" s="42"/>
      <c r="E11" s="77"/>
      <c r="F11" s="77"/>
      <c r="G11" s="68" t="str">
        <f t="shared" si="1"/>
        <v/>
      </c>
      <c r="H11" s="69" t="str">
        <f t="shared" si="2"/>
        <v/>
      </c>
      <c r="I11" s="41" t="str">
        <f t="shared" si="3"/>
        <v/>
      </c>
      <c r="Q11" s="65"/>
      <c r="R11" s="47"/>
    </row>
    <row r="12" spans="1:18" ht="22.5" customHeight="1" x14ac:dyDescent="0.2">
      <c r="A12" s="31">
        <f t="shared" si="4"/>
        <v>44352</v>
      </c>
      <c r="B12" s="35">
        <f t="shared" si="0"/>
        <v>44352</v>
      </c>
      <c r="C12" s="30"/>
      <c r="D12" s="42"/>
      <c r="E12" s="77"/>
      <c r="F12" s="77"/>
      <c r="G12" s="68" t="str">
        <f t="shared" si="1"/>
        <v/>
      </c>
      <c r="H12" s="69" t="str">
        <f t="shared" si="2"/>
        <v/>
      </c>
      <c r="I12" s="41" t="str">
        <f t="shared" si="3"/>
        <v/>
      </c>
      <c r="Q12" s="65"/>
      <c r="R12" s="47"/>
    </row>
    <row r="13" spans="1:18" ht="22.5" customHeight="1" x14ac:dyDescent="0.2">
      <c r="A13" s="31">
        <f t="shared" si="4"/>
        <v>44353</v>
      </c>
      <c r="B13" s="35">
        <f t="shared" si="0"/>
        <v>44353</v>
      </c>
      <c r="C13" s="30"/>
      <c r="D13" s="42"/>
      <c r="E13" s="78"/>
      <c r="F13" s="78"/>
      <c r="G13" s="68" t="str">
        <f t="shared" si="1"/>
        <v/>
      </c>
      <c r="H13" s="69" t="str">
        <f t="shared" si="2"/>
        <v/>
      </c>
      <c r="I13" s="41" t="str">
        <f t="shared" si="3"/>
        <v/>
      </c>
      <c r="Q13" s="65"/>
      <c r="R13" s="47"/>
    </row>
    <row r="14" spans="1:18" ht="22.5" customHeight="1" x14ac:dyDescent="0.2">
      <c r="A14" s="31">
        <f t="shared" si="4"/>
        <v>44354</v>
      </c>
      <c r="B14" s="35">
        <f t="shared" si="0"/>
        <v>44354</v>
      </c>
      <c r="C14" s="30"/>
      <c r="D14" s="42"/>
      <c r="E14" s="78"/>
      <c r="F14" s="78"/>
      <c r="G14" s="68" t="str">
        <f t="shared" si="1"/>
        <v/>
      </c>
      <c r="H14" s="69" t="str">
        <f t="shared" si="2"/>
        <v/>
      </c>
      <c r="I14" s="41" t="str">
        <f t="shared" si="3"/>
        <v/>
      </c>
      <c r="Q14" s="65"/>
      <c r="R14" s="47"/>
    </row>
    <row r="15" spans="1:18" ht="22.5" customHeight="1" x14ac:dyDescent="0.2">
      <c r="A15" s="31">
        <f t="shared" si="4"/>
        <v>44355</v>
      </c>
      <c r="B15" s="35">
        <f t="shared" si="0"/>
        <v>44355</v>
      </c>
      <c r="C15" s="30"/>
      <c r="D15" s="42"/>
      <c r="E15" s="77"/>
      <c r="F15" s="77"/>
      <c r="G15" s="68" t="str">
        <f t="shared" si="1"/>
        <v/>
      </c>
      <c r="H15" s="69" t="str">
        <f t="shared" si="2"/>
        <v/>
      </c>
      <c r="I15" s="41" t="str">
        <f t="shared" si="3"/>
        <v/>
      </c>
      <c r="Q15" s="65"/>
      <c r="R15" s="47"/>
    </row>
    <row r="16" spans="1:18" ht="22.5" customHeight="1" x14ac:dyDescent="0.2">
      <c r="A16" s="31">
        <f t="shared" si="4"/>
        <v>44356</v>
      </c>
      <c r="B16" s="35">
        <f t="shared" si="0"/>
        <v>44356</v>
      </c>
      <c r="C16" s="30"/>
      <c r="D16" s="42"/>
      <c r="E16" s="77"/>
      <c r="F16" s="77"/>
      <c r="G16" s="68" t="str">
        <f t="shared" si="1"/>
        <v/>
      </c>
      <c r="H16" s="69" t="str">
        <f t="shared" si="2"/>
        <v/>
      </c>
      <c r="I16" s="41" t="str">
        <f t="shared" si="3"/>
        <v/>
      </c>
      <c r="Q16" s="65"/>
      <c r="R16" s="47"/>
    </row>
    <row r="17" spans="1:18" ht="22.5" customHeight="1" x14ac:dyDescent="0.2">
      <c r="A17" s="31">
        <f t="shared" si="4"/>
        <v>44357</v>
      </c>
      <c r="B17" s="35">
        <f t="shared" si="0"/>
        <v>44357</v>
      </c>
      <c r="C17" s="30"/>
      <c r="D17" s="42"/>
      <c r="E17" s="77"/>
      <c r="F17" s="77"/>
      <c r="G17" s="68" t="str">
        <f t="shared" si="1"/>
        <v/>
      </c>
      <c r="H17" s="69" t="str">
        <f t="shared" si="2"/>
        <v/>
      </c>
      <c r="I17" s="41" t="str">
        <f t="shared" si="3"/>
        <v/>
      </c>
      <c r="Q17" s="65"/>
      <c r="R17" s="47"/>
    </row>
    <row r="18" spans="1:18" ht="22.5" customHeight="1" x14ac:dyDescent="0.2">
      <c r="A18" s="31">
        <f t="shared" si="4"/>
        <v>44358</v>
      </c>
      <c r="B18" s="35">
        <f t="shared" si="0"/>
        <v>44358</v>
      </c>
      <c r="C18" s="30"/>
      <c r="D18" s="42"/>
      <c r="E18" s="77"/>
      <c r="F18" s="77"/>
      <c r="G18" s="68" t="str">
        <f t="shared" si="1"/>
        <v/>
      </c>
      <c r="H18" s="69" t="str">
        <f t="shared" si="2"/>
        <v/>
      </c>
      <c r="I18" s="41" t="str">
        <f t="shared" si="3"/>
        <v/>
      </c>
      <c r="Q18" s="65"/>
      <c r="R18" s="47"/>
    </row>
    <row r="19" spans="1:18" ht="22.5" customHeight="1" x14ac:dyDescent="0.2">
      <c r="A19" s="31">
        <f t="shared" si="4"/>
        <v>44359</v>
      </c>
      <c r="B19" s="35">
        <f t="shared" si="0"/>
        <v>44359</v>
      </c>
      <c r="C19" s="30"/>
      <c r="D19" s="42"/>
      <c r="E19" s="77"/>
      <c r="F19" s="77"/>
      <c r="G19" s="68" t="str">
        <f t="shared" si="1"/>
        <v/>
      </c>
      <c r="H19" s="69" t="str">
        <f t="shared" si="2"/>
        <v/>
      </c>
      <c r="I19" s="41" t="str">
        <f t="shared" si="3"/>
        <v/>
      </c>
      <c r="Q19" s="65"/>
      <c r="R19" s="47"/>
    </row>
    <row r="20" spans="1:18" ht="22.5" customHeight="1" x14ac:dyDescent="0.2">
      <c r="A20" s="31">
        <f t="shared" si="4"/>
        <v>44360</v>
      </c>
      <c r="B20" s="35">
        <f t="shared" si="0"/>
        <v>44360</v>
      </c>
      <c r="C20" s="30"/>
      <c r="D20" s="42"/>
      <c r="E20" s="78"/>
      <c r="F20" s="78"/>
      <c r="G20" s="68" t="str">
        <f t="shared" si="1"/>
        <v/>
      </c>
      <c r="H20" s="69" t="str">
        <f t="shared" si="2"/>
        <v/>
      </c>
      <c r="I20" s="41" t="str">
        <f t="shared" si="3"/>
        <v/>
      </c>
      <c r="Q20" s="65"/>
      <c r="R20" s="47"/>
    </row>
    <row r="21" spans="1:18" ht="22.5" customHeight="1" x14ac:dyDescent="0.2">
      <c r="A21" s="31">
        <f t="shared" si="4"/>
        <v>44361</v>
      </c>
      <c r="B21" s="35">
        <f t="shared" si="0"/>
        <v>44361</v>
      </c>
      <c r="C21" s="30"/>
      <c r="D21" s="42"/>
      <c r="E21" s="78"/>
      <c r="F21" s="78"/>
      <c r="G21" s="68" t="str">
        <f t="shared" si="1"/>
        <v/>
      </c>
      <c r="H21" s="69" t="str">
        <f t="shared" si="2"/>
        <v/>
      </c>
      <c r="I21" s="41" t="str">
        <f t="shared" si="3"/>
        <v/>
      </c>
      <c r="Q21" s="65"/>
      <c r="R21" s="47"/>
    </row>
    <row r="22" spans="1:18" ht="22.5" customHeight="1" x14ac:dyDescent="0.2">
      <c r="A22" s="31">
        <f t="shared" si="4"/>
        <v>44362</v>
      </c>
      <c r="B22" s="35">
        <f t="shared" si="0"/>
        <v>44362</v>
      </c>
      <c r="C22" s="30"/>
      <c r="D22" s="42"/>
      <c r="E22" s="77"/>
      <c r="F22" s="77"/>
      <c r="G22" s="68" t="str">
        <f t="shared" si="1"/>
        <v/>
      </c>
      <c r="H22" s="69" t="str">
        <f t="shared" si="2"/>
        <v/>
      </c>
      <c r="I22" s="41" t="str">
        <f t="shared" si="3"/>
        <v/>
      </c>
      <c r="Q22" s="65"/>
      <c r="R22" s="47"/>
    </row>
    <row r="23" spans="1:18" ht="22.5" customHeight="1" x14ac:dyDescent="0.2">
      <c r="A23" s="31">
        <f t="shared" si="4"/>
        <v>44363</v>
      </c>
      <c r="B23" s="35">
        <f t="shared" si="0"/>
        <v>44363</v>
      </c>
      <c r="C23" s="30"/>
      <c r="D23" s="42"/>
      <c r="E23" s="77"/>
      <c r="F23" s="77"/>
      <c r="G23" s="68" t="str">
        <f t="shared" si="1"/>
        <v/>
      </c>
      <c r="H23" s="69" t="str">
        <f t="shared" si="2"/>
        <v/>
      </c>
      <c r="I23" s="41" t="str">
        <f t="shared" si="3"/>
        <v/>
      </c>
      <c r="Q23" s="65"/>
      <c r="R23" s="47"/>
    </row>
    <row r="24" spans="1:18" ht="22.5" customHeight="1" x14ac:dyDescent="0.2">
      <c r="A24" s="31">
        <f t="shared" si="4"/>
        <v>44364</v>
      </c>
      <c r="B24" s="35">
        <f t="shared" si="0"/>
        <v>44364</v>
      </c>
      <c r="C24" s="30"/>
      <c r="D24" s="42"/>
      <c r="E24" s="77"/>
      <c r="F24" s="77"/>
      <c r="G24" s="68" t="str">
        <f t="shared" si="1"/>
        <v/>
      </c>
      <c r="H24" s="69" t="str">
        <f t="shared" si="2"/>
        <v/>
      </c>
      <c r="I24" s="41" t="str">
        <f t="shared" si="3"/>
        <v/>
      </c>
      <c r="Q24" s="65"/>
      <c r="R24" s="47"/>
    </row>
    <row r="25" spans="1:18" ht="22.5" customHeight="1" x14ac:dyDescent="0.2">
      <c r="A25" s="31">
        <f t="shared" si="4"/>
        <v>44365</v>
      </c>
      <c r="B25" s="35">
        <f t="shared" si="0"/>
        <v>44365</v>
      </c>
      <c r="C25" s="30"/>
      <c r="D25" s="42"/>
      <c r="E25" s="77"/>
      <c r="F25" s="77"/>
      <c r="G25" s="68" t="str">
        <f t="shared" si="1"/>
        <v/>
      </c>
      <c r="H25" s="69" t="str">
        <f t="shared" si="2"/>
        <v/>
      </c>
      <c r="I25" s="41" t="str">
        <f t="shared" si="3"/>
        <v/>
      </c>
      <c r="Q25" s="65"/>
      <c r="R25" s="47"/>
    </row>
    <row r="26" spans="1:18" ht="22.5" customHeight="1" x14ac:dyDescent="0.2">
      <c r="A26" s="31">
        <f t="shared" si="4"/>
        <v>44366</v>
      </c>
      <c r="B26" s="35">
        <f t="shared" si="0"/>
        <v>44366</v>
      </c>
      <c r="C26" s="30"/>
      <c r="D26" s="42"/>
      <c r="E26" s="77"/>
      <c r="F26" s="77"/>
      <c r="G26" s="68" t="str">
        <f t="shared" si="1"/>
        <v/>
      </c>
      <c r="H26" s="69" t="str">
        <f t="shared" si="2"/>
        <v/>
      </c>
      <c r="I26" s="41" t="str">
        <f t="shared" si="3"/>
        <v/>
      </c>
      <c r="Q26" s="65"/>
      <c r="R26" s="47"/>
    </row>
    <row r="27" spans="1:18" ht="22.5" customHeight="1" x14ac:dyDescent="0.2">
      <c r="A27" s="31">
        <f t="shared" si="4"/>
        <v>44367</v>
      </c>
      <c r="B27" s="35">
        <f t="shared" si="0"/>
        <v>44367</v>
      </c>
      <c r="C27" s="30"/>
      <c r="D27" s="42"/>
      <c r="E27" s="78"/>
      <c r="F27" s="78"/>
      <c r="G27" s="68" t="str">
        <f t="shared" si="1"/>
        <v/>
      </c>
      <c r="H27" s="69" t="str">
        <f t="shared" si="2"/>
        <v/>
      </c>
      <c r="I27" s="41" t="str">
        <f t="shared" si="3"/>
        <v/>
      </c>
      <c r="Q27" s="65"/>
      <c r="R27" s="47"/>
    </row>
    <row r="28" spans="1:18" ht="22.5" customHeight="1" x14ac:dyDescent="0.2">
      <c r="A28" s="31">
        <f t="shared" si="4"/>
        <v>44368</v>
      </c>
      <c r="B28" s="35">
        <f t="shared" si="0"/>
        <v>44368</v>
      </c>
      <c r="C28" s="30"/>
      <c r="D28" s="42"/>
      <c r="E28" s="78"/>
      <c r="F28" s="78"/>
      <c r="G28" s="68" t="str">
        <f t="shared" si="1"/>
        <v/>
      </c>
      <c r="H28" s="69" t="str">
        <f t="shared" si="2"/>
        <v/>
      </c>
      <c r="I28" s="41" t="str">
        <f t="shared" si="3"/>
        <v/>
      </c>
      <c r="Q28" s="65"/>
      <c r="R28" s="47"/>
    </row>
    <row r="29" spans="1:18" ht="22.5" customHeight="1" x14ac:dyDescent="0.2">
      <c r="A29" s="31">
        <f t="shared" si="4"/>
        <v>44369</v>
      </c>
      <c r="B29" s="35">
        <f t="shared" si="0"/>
        <v>44369</v>
      </c>
      <c r="C29" s="30"/>
      <c r="D29" s="42"/>
      <c r="E29" s="77"/>
      <c r="F29" s="77"/>
      <c r="G29" s="68" t="str">
        <f t="shared" si="1"/>
        <v/>
      </c>
      <c r="H29" s="69" t="str">
        <f t="shared" si="2"/>
        <v/>
      </c>
      <c r="I29" s="41" t="str">
        <f t="shared" si="3"/>
        <v/>
      </c>
    </row>
    <row r="30" spans="1:18" ht="22.5" customHeight="1" x14ac:dyDescent="0.2">
      <c r="A30" s="31">
        <f t="shared" si="4"/>
        <v>44370</v>
      </c>
      <c r="B30" s="35">
        <f t="shared" si="0"/>
        <v>44370</v>
      </c>
      <c r="C30" s="30"/>
      <c r="D30" s="42"/>
      <c r="E30" s="77"/>
      <c r="F30" s="77"/>
      <c r="G30" s="68" t="str">
        <f t="shared" si="1"/>
        <v/>
      </c>
      <c r="H30" s="69" t="str">
        <f t="shared" si="2"/>
        <v/>
      </c>
      <c r="I30" s="41" t="str">
        <f t="shared" si="3"/>
        <v/>
      </c>
    </row>
    <row r="31" spans="1:18" ht="22.5" customHeight="1" x14ac:dyDescent="0.2">
      <c r="A31" s="31">
        <f t="shared" si="4"/>
        <v>44371</v>
      </c>
      <c r="B31" s="35">
        <f t="shared" si="0"/>
        <v>44371</v>
      </c>
      <c r="C31" s="30"/>
      <c r="D31" s="42"/>
      <c r="E31" s="77"/>
      <c r="F31" s="77"/>
      <c r="G31" s="68" t="str">
        <f t="shared" si="1"/>
        <v/>
      </c>
      <c r="H31" s="69" t="str">
        <f t="shared" si="2"/>
        <v/>
      </c>
      <c r="I31" s="41" t="str">
        <f t="shared" si="3"/>
        <v/>
      </c>
    </row>
    <row r="32" spans="1:18" ht="22.5" customHeight="1" x14ac:dyDescent="0.2">
      <c r="A32" s="31">
        <f t="shared" si="4"/>
        <v>44372</v>
      </c>
      <c r="B32" s="35">
        <f t="shared" si="0"/>
        <v>44372</v>
      </c>
      <c r="C32" s="30"/>
      <c r="D32" s="42"/>
      <c r="E32" s="77"/>
      <c r="F32" s="77"/>
      <c r="G32" s="68" t="str">
        <f t="shared" si="1"/>
        <v/>
      </c>
      <c r="H32" s="69" t="str">
        <f t="shared" si="2"/>
        <v/>
      </c>
      <c r="I32" s="41" t="str">
        <f t="shared" si="3"/>
        <v/>
      </c>
    </row>
    <row r="33" spans="1:9" ht="22.5" customHeight="1" x14ac:dyDescent="0.2">
      <c r="A33" s="31">
        <f t="shared" si="4"/>
        <v>44373</v>
      </c>
      <c r="B33" s="35">
        <f t="shared" si="0"/>
        <v>44373</v>
      </c>
      <c r="C33" s="30"/>
      <c r="D33" s="42"/>
      <c r="E33" s="77"/>
      <c r="F33" s="77"/>
      <c r="G33" s="68" t="str">
        <f t="shared" si="1"/>
        <v/>
      </c>
      <c r="H33" s="69" t="str">
        <f t="shared" si="2"/>
        <v/>
      </c>
      <c r="I33" s="41" t="str">
        <f t="shared" si="3"/>
        <v/>
      </c>
    </row>
    <row r="34" spans="1:9" ht="22.5" customHeight="1" x14ac:dyDescent="0.2">
      <c r="A34" s="31">
        <f t="shared" si="4"/>
        <v>44374</v>
      </c>
      <c r="B34" s="35">
        <f t="shared" si="0"/>
        <v>44374</v>
      </c>
      <c r="C34" s="30"/>
      <c r="D34" s="42"/>
      <c r="E34" s="78"/>
      <c r="F34" s="78"/>
      <c r="G34" s="68" t="str">
        <f t="shared" si="1"/>
        <v/>
      </c>
      <c r="H34" s="69" t="str">
        <f t="shared" si="2"/>
        <v/>
      </c>
      <c r="I34" s="41" t="str">
        <f t="shared" si="3"/>
        <v/>
      </c>
    </row>
    <row r="35" spans="1:9" ht="22.5" customHeight="1" x14ac:dyDescent="0.2">
      <c r="A35" s="31">
        <f t="shared" si="4"/>
        <v>44375</v>
      </c>
      <c r="B35" s="35">
        <f t="shared" si="0"/>
        <v>44375</v>
      </c>
      <c r="C35" s="30"/>
      <c r="D35" s="42"/>
      <c r="E35" s="78"/>
      <c r="F35" s="78"/>
      <c r="G35" s="68" t="str">
        <f t="shared" si="1"/>
        <v/>
      </c>
      <c r="H35" s="69" t="str">
        <f t="shared" si="2"/>
        <v/>
      </c>
      <c r="I35" s="41" t="str">
        <f t="shared" si="3"/>
        <v/>
      </c>
    </row>
    <row r="36" spans="1:9" ht="22.5" customHeight="1" x14ac:dyDescent="0.2">
      <c r="A36" s="31">
        <f t="shared" si="4"/>
        <v>44376</v>
      </c>
      <c r="B36" s="35">
        <f t="shared" si="0"/>
        <v>44376</v>
      </c>
      <c r="C36" s="30"/>
      <c r="D36" s="42"/>
      <c r="E36" s="77"/>
      <c r="F36" s="77"/>
      <c r="G36" s="68" t="str">
        <f t="shared" si="1"/>
        <v/>
      </c>
      <c r="H36" s="69" t="str">
        <f t="shared" si="2"/>
        <v/>
      </c>
      <c r="I36" s="41" t="str">
        <f t="shared" si="3"/>
        <v/>
      </c>
    </row>
    <row r="37" spans="1:9" ht="22.5" customHeight="1" x14ac:dyDescent="0.2">
      <c r="A37" s="31">
        <f t="shared" si="4"/>
        <v>44377</v>
      </c>
      <c r="B37" s="35">
        <f t="shared" si="0"/>
        <v>44377</v>
      </c>
      <c r="C37" s="30"/>
      <c r="D37" s="42"/>
      <c r="E37" s="77"/>
      <c r="F37" s="77"/>
      <c r="G37" s="68" t="str">
        <f t="shared" si="1"/>
        <v/>
      </c>
      <c r="H37" s="69" t="str">
        <f t="shared" si="2"/>
        <v/>
      </c>
      <c r="I37" s="41" t="str">
        <f t="shared" si="3"/>
        <v/>
      </c>
    </row>
    <row r="38" spans="1:9" ht="22.5" customHeight="1" thickBot="1" x14ac:dyDescent="0.25">
      <c r="A38" s="36">
        <f t="shared" si="4"/>
        <v>44378</v>
      </c>
      <c r="B38" s="37">
        <f t="shared" si="0"/>
        <v>44378</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29" priority="1" stopIfTrue="1">
      <formula>WEEKDAY($A8)=1</formula>
    </cfRule>
    <cfRule type="expression" dxfId="28" priority="2" stopIfTrue="1">
      <formula>WEEKDAY($A8)=7</formula>
    </cfRule>
    <cfRule type="expression" dxfId="27" priority="3" stopIfTrue="1">
      <formula>国民の祝日($A8,0)</formula>
    </cfRule>
  </conditionalFormatting>
  <dataValidations count="1">
    <dataValidation type="list" showInputMessage="1" sqref="D8:D38" xr:uid="{00000000-0002-0000-06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R41"/>
  <sheetViews>
    <sheetView view="pageBreakPreview" zoomScale="85" zoomScaleNormal="100" zoomScaleSheetLayoutView="85" workbookViewId="0">
      <selection activeCell="C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DATE(YEAR([0]!年度開始年月日),MONTH([0]!年度開始年月日)+3,DAY([0]!年度開始年月日))</f>
        <v>44378</v>
      </c>
      <c r="B1" s="99"/>
      <c r="C1" s="99"/>
      <c r="D1" s="43" t="s">
        <v>0</v>
      </c>
      <c r="F1" s="43"/>
      <c r="G1" s="43"/>
      <c r="H1" s="45" t="s">
        <v>61</v>
      </c>
      <c r="I1" s="46"/>
    </row>
    <row r="2" spans="1:18" ht="15" customHeight="1" x14ac:dyDescent="0.2">
      <c r="A2" s="47"/>
      <c r="B2" s="47" t="s">
        <v>8</v>
      </c>
      <c r="C2" s="48">
        <f>A1</f>
        <v>44378</v>
      </c>
      <c r="D2" s="49"/>
      <c r="F2" s="50"/>
      <c r="G2" s="50"/>
      <c r="H2" s="50"/>
      <c r="I2" s="46"/>
    </row>
    <row r="3" spans="1:18" ht="15" customHeight="1" x14ac:dyDescent="0.2">
      <c r="A3" s="47"/>
      <c r="B3" s="47" t="s">
        <v>7</v>
      </c>
      <c r="C3" s="48">
        <f>DATE(YEAR(C2),MONTH(C2)+1,1)-1</f>
        <v>44408</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44408</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44378</v>
      </c>
      <c r="B8" s="39">
        <f t="shared" ref="B8:B38" si="0">A8</f>
        <v>44378</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44379</v>
      </c>
      <c r="B9" s="35">
        <f t="shared" si="0"/>
        <v>44379</v>
      </c>
      <c r="C9" s="30"/>
      <c r="D9" s="42"/>
      <c r="E9" s="78"/>
      <c r="F9" s="78"/>
      <c r="G9" s="68" t="str">
        <f t="shared" si="1"/>
        <v/>
      </c>
      <c r="H9" s="69" t="str">
        <f t="shared" si="2"/>
        <v/>
      </c>
      <c r="I9" s="41" t="str">
        <f t="shared" si="3"/>
        <v/>
      </c>
      <c r="Q9" s="65"/>
      <c r="R9" s="47"/>
    </row>
    <row r="10" spans="1:18" ht="22.5" customHeight="1" x14ac:dyDescent="0.2">
      <c r="A10" s="31">
        <f t="shared" si="4"/>
        <v>44380</v>
      </c>
      <c r="B10" s="35">
        <f t="shared" si="0"/>
        <v>44380</v>
      </c>
      <c r="C10" s="30"/>
      <c r="D10" s="42"/>
      <c r="E10" s="78"/>
      <c r="F10" s="78"/>
      <c r="G10" s="68" t="str">
        <f t="shared" si="1"/>
        <v/>
      </c>
      <c r="H10" s="69" t="str">
        <f t="shared" si="2"/>
        <v/>
      </c>
      <c r="I10" s="41" t="str">
        <f t="shared" si="3"/>
        <v/>
      </c>
      <c r="Q10" s="65"/>
      <c r="R10" s="47"/>
    </row>
    <row r="11" spans="1:18" ht="22.5" customHeight="1" x14ac:dyDescent="0.2">
      <c r="A11" s="31">
        <f t="shared" si="4"/>
        <v>44381</v>
      </c>
      <c r="B11" s="35">
        <f t="shared" si="0"/>
        <v>44381</v>
      </c>
      <c r="C11" s="30"/>
      <c r="D11" s="42"/>
      <c r="E11" s="78"/>
      <c r="F11" s="78"/>
      <c r="G11" s="68" t="str">
        <f t="shared" si="1"/>
        <v/>
      </c>
      <c r="H11" s="69" t="str">
        <f t="shared" si="2"/>
        <v/>
      </c>
      <c r="I11" s="41" t="str">
        <f t="shared" si="3"/>
        <v/>
      </c>
      <c r="Q11" s="65"/>
      <c r="R11" s="47"/>
    </row>
    <row r="12" spans="1:18" ht="22.5" customHeight="1" x14ac:dyDescent="0.2">
      <c r="A12" s="31">
        <f t="shared" si="4"/>
        <v>44382</v>
      </c>
      <c r="B12" s="35">
        <f t="shared" si="0"/>
        <v>44382</v>
      </c>
      <c r="C12" s="30"/>
      <c r="D12" s="42"/>
      <c r="E12" s="78"/>
      <c r="F12" s="78"/>
      <c r="G12" s="68" t="str">
        <f t="shared" si="1"/>
        <v/>
      </c>
      <c r="H12" s="69" t="str">
        <f t="shared" si="2"/>
        <v/>
      </c>
      <c r="I12" s="41" t="str">
        <f t="shared" si="3"/>
        <v/>
      </c>
      <c r="Q12" s="65"/>
      <c r="R12" s="47"/>
    </row>
    <row r="13" spans="1:18" ht="22.5" customHeight="1" x14ac:dyDescent="0.2">
      <c r="A13" s="31">
        <f t="shared" si="4"/>
        <v>44383</v>
      </c>
      <c r="B13" s="35">
        <f t="shared" si="0"/>
        <v>44383</v>
      </c>
      <c r="C13" s="30"/>
      <c r="D13" s="42"/>
      <c r="E13" s="78"/>
      <c r="F13" s="78"/>
      <c r="G13" s="68" t="str">
        <f t="shared" si="1"/>
        <v/>
      </c>
      <c r="H13" s="69" t="str">
        <f t="shared" si="2"/>
        <v/>
      </c>
      <c r="I13" s="41" t="str">
        <f t="shared" si="3"/>
        <v/>
      </c>
      <c r="Q13" s="65"/>
      <c r="R13" s="47"/>
    </row>
    <row r="14" spans="1:18" ht="22.5" customHeight="1" x14ac:dyDescent="0.2">
      <c r="A14" s="31">
        <f t="shared" si="4"/>
        <v>44384</v>
      </c>
      <c r="B14" s="35">
        <f t="shared" si="0"/>
        <v>44384</v>
      </c>
      <c r="C14" s="30"/>
      <c r="D14" s="42"/>
      <c r="E14" s="78"/>
      <c r="F14" s="78"/>
      <c r="G14" s="68" t="str">
        <f t="shared" si="1"/>
        <v/>
      </c>
      <c r="H14" s="69" t="str">
        <f t="shared" si="2"/>
        <v/>
      </c>
      <c r="I14" s="41" t="str">
        <f t="shared" si="3"/>
        <v/>
      </c>
      <c r="Q14" s="65"/>
      <c r="R14" s="47"/>
    </row>
    <row r="15" spans="1:18" ht="22.5" customHeight="1" x14ac:dyDescent="0.2">
      <c r="A15" s="31">
        <f t="shared" si="4"/>
        <v>44385</v>
      </c>
      <c r="B15" s="35">
        <f t="shared" si="0"/>
        <v>44385</v>
      </c>
      <c r="C15" s="30"/>
      <c r="D15" s="42"/>
      <c r="E15" s="78"/>
      <c r="F15" s="78"/>
      <c r="G15" s="68" t="str">
        <f t="shared" si="1"/>
        <v/>
      </c>
      <c r="H15" s="69" t="str">
        <f t="shared" si="2"/>
        <v/>
      </c>
      <c r="I15" s="41" t="str">
        <f t="shared" si="3"/>
        <v/>
      </c>
      <c r="Q15" s="65"/>
      <c r="R15" s="47"/>
    </row>
    <row r="16" spans="1:18" ht="22.5" customHeight="1" x14ac:dyDescent="0.2">
      <c r="A16" s="31">
        <f t="shared" si="4"/>
        <v>44386</v>
      </c>
      <c r="B16" s="35">
        <f t="shared" si="0"/>
        <v>44386</v>
      </c>
      <c r="C16" s="30"/>
      <c r="D16" s="42"/>
      <c r="E16" s="78"/>
      <c r="F16" s="78"/>
      <c r="G16" s="68" t="str">
        <f t="shared" si="1"/>
        <v/>
      </c>
      <c r="H16" s="69" t="str">
        <f t="shared" si="2"/>
        <v/>
      </c>
      <c r="I16" s="41" t="str">
        <f t="shared" si="3"/>
        <v/>
      </c>
      <c r="Q16" s="65"/>
      <c r="R16" s="47"/>
    </row>
    <row r="17" spans="1:18" ht="22.5" customHeight="1" x14ac:dyDescent="0.2">
      <c r="A17" s="31">
        <f t="shared" si="4"/>
        <v>44387</v>
      </c>
      <c r="B17" s="35">
        <f t="shared" si="0"/>
        <v>44387</v>
      </c>
      <c r="C17" s="30"/>
      <c r="D17" s="42"/>
      <c r="E17" s="78"/>
      <c r="F17" s="78"/>
      <c r="G17" s="68" t="str">
        <f t="shared" si="1"/>
        <v/>
      </c>
      <c r="H17" s="69" t="str">
        <f t="shared" si="2"/>
        <v/>
      </c>
      <c r="I17" s="41" t="str">
        <f t="shared" si="3"/>
        <v/>
      </c>
      <c r="Q17" s="65"/>
      <c r="R17" s="47"/>
    </row>
    <row r="18" spans="1:18" ht="22.5" customHeight="1" x14ac:dyDescent="0.2">
      <c r="A18" s="31">
        <f t="shared" si="4"/>
        <v>44388</v>
      </c>
      <c r="B18" s="35">
        <f t="shared" si="0"/>
        <v>44388</v>
      </c>
      <c r="C18" s="30"/>
      <c r="D18" s="42"/>
      <c r="E18" s="78"/>
      <c r="F18" s="78"/>
      <c r="G18" s="68" t="str">
        <f t="shared" si="1"/>
        <v/>
      </c>
      <c r="H18" s="69" t="str">
        <f t="shared" si="2"/>
        <v/>
      </c>
      <c r="I18" s="41" t="str">
        <f t="shared" si="3"/>
        <v/>
      </c>
      <c r="Q18" s="65"/>
      <c r="R18" s="47"/>
    </row>
    <row r="19" spans="1:18" ht="22.5" customHeight="1" x14ac:dyDescent="0.2">
      <c r="A19" s="31">
        <f t="shared" si="4"/>
        <v>44389</v>
      </c>
      <c r="B19" s="35">
        <f t="shared" si="0"/>
        <v>44389</v>
      </c>
      <c r="C19" s="30"/>
      <c r="D19" s="42"/>
      <c r="E19" s="78"/>
      <c r="F19" s="78"/>
      <c r="G19" s="68" t="str">
        <f t="shared" si="1"/>
        <v/>
      </c>
      <c r="H19" s="69" t="str">
        <f t="shared" si="2"/>
        <v/>
      </c>
      <c r="I19" s="41" t="str">
        <f t="shared" si="3"/>
        <v/>
      </c>
      <c r="Q19" s="65"/>
      <c r="R19" s="47"/>
    </row>
    <row r="20" spans="1:18" ht="22.5" customHeight="1" x14ac:dyDescent="0.2">
      <c r="A20" s="31">
        <f t="shared" si="4"/>
        <v>44390</v>
      </c>
      <c r="B20" s="35">
        <f t="shared" si="0"/>
        <v>44390</v>
      </c>
      <c r="C20" s="30"/>
      <c r="D20" s="42"/>
      <c r="E20" s="78"/>
      <c r="F20" s="78"/>
      <c r="G20" s="68" t="str">
        <f t="shared" si="1"/>
        <v/>
      </c>
      <c r="H20" s="69" t="str">
        <f t="shared" si="2"/>
        <v/>
      </c>
      <c r="I20" s="41" t="str">
        <f t="shared" si="3"/>
        <v/>
      </c>
      <c r="Q20" s="65"/>
      <c r="R20" s="47"/>
    </row>
    <row r="21" spans="1:18" ht="22.5" customHeight="1" x14ac:dyDescent="0.2">
      <c r="A21" s="31">
        <f t="shared" si="4"/>
        <v>44391</v>
      </c>
      <c r="B21" s="35">
        <f t="shared" si="0"/>
        <v>44391</v>
      </c>
      <c r="C21" s="30"/>
      <c r="D21" s="42"/>
      <c r="E21" s="78"/>
      <c r="F21" s="78"/>
      <c r="G21" s="68" t="str">
        <f t="shared" si="1"/>
        <v/>
      </c>
      <c r="H21" s="69" t="str">
        <f t="shared" si="2"/>
        <v/>
      </c>
      <c r="I21" s="41" t="str">
        <f t="shared" si="3"/>
        <v/>
      </c>
      <c r="Q21" s="65"/>
      <c r="R21" s="47"/>
    </row>
    <row r="22" spans="1:18" ht="22.5" customHeight="1" x14ac:dyDescent="0.2">
      <c r="A22" s="31">
        <f t="shared" si="4"/>
        <v>44392</v>
      </c>
      <c r="B22" s="35">
        <f t="shared" si="0"/>
        <v>44392</v>
      </c>
      <c r="C22" s="30"/>
      <c r="D22" s="42"/>
      <c r="E22" s="78"/>
      <c r="F22" s="78"/>
      <c r="G22" s="68" t="str">
        <f t="shared" si="1"/>
        <v/>
      </c>
      <c r="H22" s="69" t="str">
        <f t="shared" si="2"/>
        <v/>
      </c>
      <c r="I22" s="41" t="str">
        <f t="shared" si="3"/>
        <v/>
      </c>
      <c r="Q22" s="65"/>
      <c r="R22" s="47"/>
    </row>
    <row r="23" spans="1:18" ht="22.5" customHeight="1" x14ac:dyDescent="0.2">
      <c r="A23" s="31">
        <f t="shared" si="4"/>
        <v>44393</v>
      </c>
      <c r="B23" s="35">
        <f t="shared" si="0"/>
        <v>44393</v>
      </c>
      <c r="C23" s="30"/>
      <c r="D23" s="42"/>
      <c r="E23" s="78"/>
      <c r="F23" s="78"/>
      <c r="G23" s="68" t="str">
        <f t="shared" si="1"/>
        <v/>
      </c>
      <c r="H23" s="69" t="str">
        <f t="shared" si="2"/>
        <v/>
      </c>
      <c r="I23" s="41" t="str">
        <f t="shared" si="3"/>
        <v/>
      </c>
      <c r="Q23" s="65"/>
      <c r="R23" s="47"/>
    </row>
    <row r="24" spans="1:18" ht="22.5" customHeight="1" x14ac:dyDescent="0.2">
      <c r="A24" s="31">
        <f t="shared" si="4"/>
        <v>44394</v>
      </c>
      <c r="B24" s="35">
        <f t="shared" si="0"/>
        <v>44394</v>
      </c>
      <c r="C24" s="30"/>
      <c r="D24" s="42"/>
      <c r="E24" s="78"/>
      <c r="F24" s="78"/>
      <c r="G24" s="68" t="str">
        <f t="shared" si="1"/>
        <v/>
      </c>
      <c r="H24" s="69" t="str">
        <f t="shared" si="2"/>
        <v/>
      </c>
      <c r="I24" s="41" t="str">
        <f t="shared" si="3"/>
        <v/>
      </c>
      <c r="Q24" s="65"/>
      <c r="R24" s="47"/>
    </row>
    <row r="25" spans="1:18" ht="22.5" customHeight="1" x14ac:dyDescent="0.2">
      <c r="A25" s="31">
        <f t="shared" si="4"/>
        <v>44395</v>
      </c>
      <c r="B25" s="35">
        <f t="shared" si="0"/>
        <v>44395</v>
      </c>
      <c r="C25" s="30"/>
      <c r="D25" s="42"/>
      <c r="E25" s="78"/>
      <c r="F25" s="78"/>
      <c r="G25" s="68" t="str">
        <f t="shared" si="1"/>
        <v/>
      </c>
      <c r="H25" s="69" t="str">
        <f t="shared" si="2"/>
        <v/>
      </c>
      <c r="I25" s="41" t="str">
        <f t="shared" si="3"/>
        <v/>
      </c>
      <c r="Q25" s="65"/>
      <c r="R25" s="47"/>
    </row>
    <row r="26" spans="1:18" ht="22.5" customHeight="1" x14ac:dyDescent="0.2">
      <c r="A26" s="31">
        <f t="shared" si="4"/>
        <v>44396</v>
      </c>
      <c r="B26" s="35">
        <f t="shared" si="0"/>
        <v>44396</v>
      </c>
      <c r="C26" s="30"/>
      <c r="D26" s="42"/>
      <c r="E26" s="78"/>
      <c r="F26" s="78"/>
      <c r="G26" s="68" t="str">
        <f t="shared" si="1"/>
        <v/>
      </c>
      <c r="H26" s="69" t="str">
        <f t="shared" si="2"/>
        <v/>
      </c>
      <c r="I26" s="41" t="str">
        <f t="shared" si="3"/>
        <v/>
      </c>
      <c r="Q26" s="65"/>
      <c r="R26" s="47"/>
    </row>
    <row r="27" spans="1:18" ht="22.5" customHeight="1" x14ac:dyDescent="0.2">
      <c r="A27" s="31">
        <f t="shared" si="4"/>
        <v>44397</v>
      </c>
      <c r="B27" s="35">
        <f t="shared" si="0"/>
        <v>44397</v>
      </c>
      <c r="C27" s="30"/>
      <c r="D27" s="42"/>
      <c r="E27" s="78"/>
      <c r="F27" s="78"/>
      <c r="G27" s="68" t="str">
        <f t="shared" si="1"/>
        <v/>
      </c>
      <c r="H27" s="69" t="str">
        <f t="shared" si="2"/>
        <v/>
      </c>
      <c r="I27" s="41" t="str">
        <f t="shared" si="3"/>
        <v/>
      </c>
      <c r="Q27" s="65"/>
      <c r="R27" s="47"/>
    </row>
    <row r="28" spans="1:18" ht="22.5" customHeight="1" x14ac:dyDescent="0.2">
      <c r="A28" s="31">
        <f t="shared" si="4"/>
        <v>44398</v>
      </c>
      <c r="B28" s="35">
        <f t="shared" si="0"/>
        <v>44398</v>
      </c>
      <c r="C28" s="30"/>
      <c r="D28" s="42"/>
      <c r="E28" s="78"/>
      <c r="F28" s="78"/>
      <c r="G28" s="68" t="str">
        <f t="shared" si="1"/>
        <v/>
      </c>
      <c r="H28" s="69" t="str">
        <f t="shared" si="2"/>
        <v/>
      </c>
      <c r="I28" s="41" t="str">
        <f t="shared" si="3"/>
        <v/>
      </c>
      <c r="Q28" s="65"/>
      <c r="R28" s="47"/>
    </row>
    <row r="29" spans="1:18" ht="22.5" customHeight="1" x14ac:dyDescent="0.2">
      <c r="A29" s="31">
        <f t="shared" si="4"/>
        <v>44399</v>
      </c>
      <c r="B29" s="35">
        <f t="shared" si="0"/>
        <v>44399</v>
      </c>
      <c r="C29" s="30"/>
      <c r="D29" s="42"/>
      <c r="E29" s="78"/>
      <c r="F29" s="78"/>
      <c r="G29" s="68" t="str">
        <f t="shared" si="1"/>
        <v/>
      </c>
      <c r="H29" s="69" t="str">
        <f t="shared" si="2"/>
        <v/>
      </c>
      <c r="I29" s="41" t="str">
        <f t="shared" si="3"/>
        <v/>
      </c>
    </row>
    <row r="30" spans="1:18" ht="22.5" customHeight="1" x14ac:dyDescent="0.2">
      <c r="A30" s="31">
        <f t="shared" si="4"/>
        <v>44400</v>
      </c>
      <c r="B30" s="35">
        <f t="shared" si="0"/>
        <v>44400</v>
      </c>
      <c r="C30" s="30"/>
      <c r="D30" s="42"/>
      <c r="E30" s="78"/>
      <c r="F30" s="78"/>
      <c r="G30" s="68" t="str">
        <f t="shared" si="1"/>
        <v/>
      </c>
      <c r="H30" s="69" t="str">
        <f t="shared" si="2"/>
        <v/>
      </c>
      <c r="I30" s="41" t="str">
        <f t="shared" si="3"/>
        <v/>
      </c>
    </row>
    <row r="31" spans="1:18" ht="22.5" customHeight="1" x14ac:dyDescent="0.2">
      <c r="A31" s="31">
        <f t="shared" si="4"/>
        <v>44401</v>
      </c>
      <c r="B31" s="35">
        <f t="shared" si="0"/>
        <v>44401</v>
      </c>
      <c r="C31" s="30"/>
      <c r="D31" s="42"/>
      <c r="E31" s="78"/>
      <c r="F31" s="78"/>
      <c r="G31" s="68" t="str">
        <f t="shared" si="1"/>
        <v/>
      </c>
      <c r="H31" s="69" t="str">
        <f t="shared" si="2"/>
        <v/>
      </c>
      <c r="I31" s="41" t="str">
        <f t="shared" si="3"/>
        <v/>
      </c>
    </row>
    <row r="32" spans="1:18" ht="22.5" customHeight="1" x14ac:dyDescent="0.2">
      <c r="A32" s="31">
        <f t="shared" si="4"/>
        <v>44402</v>
      </c>
      <c r="B32" s="35">
        <f t="shared" si="0"/>
        <v>44402</v>
      </c>
      <c r="C32" s="30"/>
      <c r="D32" s="42"/>
      <c r="E32" s="78"/>
      <c r="F32" s="78"/>
      <c r="G32" s="68" t="str">
        <f t="shared" si="1"/>
        <v/>
      </c>
      <c r="H32" s="69" t="str">
        <f t="shared" si="2"/>
        <v/>
      </c>
      <c r="I32" s="41" t="str">
        <f t="shared" si="3"/>
        <v/>
      </c>
    </row>
    <row r="33" spans="1:9" ht="22.5" customHeight="1" x14ac:dyDescent="0.2">
      <c r="A33" s="31">
        <f t="shared" si="4"/>
        <v>44403</v>
      </c>
      <c r="B33" s="35">
        <f t="shared" si="0"/>
        <v>44403</v>
      </c>
      <c r="C33" s="30"/>
      <c r="D33" s="42"/>
      <c r="E33" s="78"/>
      <c r="F33" s="78"/>
      <c r="G33" s="68" t="str">
        <f t="shared" si="1"/>
        <v/>
      </c>
      <c r="H33" s="69" t="str">
        <f t="shared" si="2"/>
        <v/>
      </c>
      <c r="I33" s="41" t="str">
        <f t="shared" si="3"/>
        <v/>
      </c>
    </row>
    <row r="34" spans="1:9" ht="22.5" customHeight="1" x14ac:dyDescent="0.2">
      <c r="A34" s="31">
        <f t="shared" si="4"/>
        <v>44404</v>
      </c>
      <c r="B34" s="35">
        <f t="shared" si="0"/>
        <v>44404</v>
      </c>
      <c r="C34" s="30"/>
      <c r="D34" s="42"/>
      <c r="E34" s="78"/>
      <c r="F34" s="78"/>
      <c r="G34" s="68" t="str">
        <f t="shared" si="1"/>
        <v/>
      </c>
      <c r="H34" s="69" t="str">
        <f t="shared" si="2"/>
        <v/>
      </c>
      <c r="I34" s="41" t="str">
        <f t="shared" si="3"/>
        <v/>
      </c>
    </row>
    <row r="35" spans="1:9" ht="22.5" customHeight="1" x14ac:dyDescent="0.2">
      <c r="A35" s="31">
        <f t="shared" si="4"/>
        <v>44405</v>
      </c>
      <c r="B35" s="35">
        <f t="shared" si="0"/>
        <v>44405</v>
      </c>
      <c r="C35" s="30"/>
      <c r="D35" s="42"/>
      <c r="E35" s="78"/>
      <c r="F35" s="78"/>
      <c r="G35" s="68" t="str">
        <f t="shared" si="1"/>
        <v/>
      </c>
      <c r="H35" s="69" t="str">
        <f t="shared" si="2"/>
        <v/>
      </c>
      <c r="I35" s="41" t="str">
        <f t="shared" si="3"/>
        <v/>
      </c>
    </row>
    <row r="36" spans="1:9" ht="22.5" customHeight="1" x14ac:dyDescent="0.2">
      <c r="A36" s="31">
        <f t="shared" si="4"/>
        <v>44406</v>
      </c>
      <c r="B36" s="35">
        <f t="shared" si="0"/>
        <v>44406</v>
      </c>
      <c r="C36" s="30"/>
      <c r="D36" s="42"/>
      <c r="E36" s="78"/>
      <c r="F36" s="78"/>
      <c r="G36" s="68" t="str">
        <f t="shared" si="1"/>
        <v/>
      </c>
      <c r="H36" s="69" t="str">
        <f t="shared" si="2"/>
        <v/>
      </c>
      <c r="I36" s="41" t="str">
        <f t="shared" si="3"/>
        <v/>
      </c>
    </row>
    <row r="37" spans="1:9" ht="22.5" customHeight="1" x14ac:dyDescent="0.2">
      <c r="A37" s="31">
        <f t="shared" si="4"/>
        <v>44407</v>
      </c>
      <c r="B37" s="35">
        <f t="shared" si="0"/>
        <v>44407</v>
      </c>
      <c r="C37" s="30"/>
      <c r="D37" s="42"/>
      <c r="E37" s="78"/>
      <c r="F37" s="78"/>
      <c r="G37" s="68" t="str">
        <f t="shared" si="1"/>
        <v/>
      </c>
      <c r="H37" s="69" t="str">
        <f t="shared" si="2"/>
        <v/>
      </c>
      <c r="I37" s="41" t="str">
        <f t="shared" si="3"/>
        <v/>
      </c>
    </row>
    <row r="38" spans="1:9" ht="22.5" customHeight="1" thickBot="1" x14ac:dyDescent="0.25">
      <c r="A38" s="36">
        <f t="shared" si="4"/>
        <v>44408</v>
      </c>
      <c r="B38" s="37">
        <f t="shared" si="0"/>
        <v>44408</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26" priority="1" stopIfTrue="1">
      <formula>WEEKDAY($A8)=1</formula>
    </cfRule>
    <cfRule type="expression" dxfId="25" priority="2" stopIfTrue="1">
      <formula>WEEKDAY($A8)=7</formula>
    </cfRule>
    <cfRule type="expression" dxfId="24" priority="3" stopIfTrue="1">
      <formula>国民の祝日($A8,0)</formula>
    </cfRule>
  </conditionalFormatting>
  <dataValidations count="1">
    <dataValidation type="list" showInputMessage="1" sqref="D8:D38" xr:uid="{00000000-0002-0000-07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R41"/>
  <sheetViews>
    <sheetView view="pageBreakPreview" zoomScale="85" zoomScaleNormal="100" zoomScaleSheetLayoutView="85" workbookViewId="0">
      <selection activeCell="C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DATE(YEAR([0]!年度開始年月日),MONTH([0]!年度開始年月日)+4,DAY([0]!年度開始年月日))</f>
        <v>44409</v>
      </c>
      <c r="B1" s="99"/>
      <c r="C1" s="99"/>
      <c r="D1" s="43" t="s">
        <v>0</v>
      </c>
      <c r="F1" s="43"/>
      <c r="G1" s="43"/>
      <c r="H1" s="45" t="s">
        <v>61</v>
      </c>
      <c r="I1" s="46"/>
    </row>
    <row r="2" spans="1:18" ht="15" customHeight="1" x14ac:dyDescent="0.2">
      <c r="A2" s="47"/>
      <c r="B2" s="47" t="s">
        <v>8</v>
      </c>
      <c r="C2" s="48">
        <f>A1</f>
        <v>44409</v>
      </c>
      <c r="D2" s="49"/>
      <c r="F2" s="50"/>
      <c r="G2" s="50"/>
      <c r="H2" s="50"/>
      <c r="I2" s="46"/>
    </row>
    <row r="3" spans="1:18" ht="15" customHeight="1" x14ac:dyDescent="0.2">
      <c r="A3" s="47"/>
      <c r="B3" s="47" t="s">
        <v>7</v>
      </c>
      <c r="C3" s="48">
        <f>DATE(YEAR(C2),MONTH(C2)+1,1)-1</f>
        <v>44439</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44439</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44409</v>
      </c>
      <c r="B8" s="39">
        <f t="shared" ref="B8:B38" si="0">A8</f>
        <v>44409</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44410</v>
      </c>
      <c r="B9" s="35">
        <f t="shared" si="0"/>
        <v>44410</v>
      </c>
      <c r="C9" s="30"/>
      <c r="D9" s="42"/>
      <c r="E9" s="78"/>
      <c r="F9" s="78"/>
      <c r="G9" s="68" t="str">
        <f t="shared" si="1"/>
        <v/>
      </c>
      <c r="H9" s="69" t="str">
        <f t="shared" si="2"/>
        <v/>
      </c>
      <c r="I9" s="41" t="str">
        <f t="shared" si="3"/>
        <v/>
      </c>
      <c r="Q9" s="65"/>
      <c r="R9" s="47"/>
    </row>
    <row r="10" spans="1:18" ht="22.5" customHeight="1" x14ac:dyDescent="0.2">
      <c r="A10" s="31">
        <f t="shared" si="4"/>
        <v>44411</v>
      </c>
      <c r="B10" s="35">
        <f t="shared" si="0"/>
        <v>44411</v>
      </c>
      <c r="C10" s="30"/>
      <c r="D10" s="42"/>
      <c r="E10" s="78"/>
      <c r="F10" s="78"/>
      <c r="G10" s="68" t="str">
        <f t="shared" si="1"/>
        <v/>
      </c>
      <c r="H10" s="69" t="str">
        <f t="shared" si="2"/>
        <v/>
      </c>
      <c r="I10" s="41" t="str">
        <f t="shared" si="3"/>
        <v/>
      </c>
      <c r="Q10" s="65"/>
      <c r="R10" s="47"/>
    </row>
    <row r="11" spans="1:18" ht="22.5" customHeight="1" x14ac:dyDescent="0.2">
      <c r="A11" s="31">
        <f t="shared" si="4"/>
        <v>44412</v>
      </c>
      <c r="B11" s="35">
        <f t="shared" si="0"/>
        <v>44412</v>
      </c>
      <c r="C11" s="30"/>
      <c r="D11" s="42"/>
      <c r="E11" s="78"/>
      <c r="F11" s="78"/>
      <c r="G11" s="68" t="str">
        <f t="shared" si="1"/>
        <v/>
      </c>
      <c r="H11" s="69" t="str">
        <f t="shared" si="2"/>
        <v/>
      </c>
      <c r="I11" s="41" t="str">
        <f t="shared" si="3"/>
        <v/>
      </c>
      <c r="Q11" s="65"/>
      <c r="R11" s="47"/>
    </row>
    <row r="12" spans="1:18" ht="22.5" customHeight="1" x14ac:dyDescent="0.2">
      <c r="A12" s="31">
        <f t="shared" si="4"/>
        <v>44413</v>
      </c>
      <c r="B12" s="35">
        <f t="shared" si="0"/>
        <v>44413</v>
      </c>
      <c r="C12" s="30"/>
      <c r="D12" s="42"/>
      <c r="E12" s="78"/>
      <c r="F12" s="78"/>
      <c r="G12" s="68" t="str">
        <f t="shared" si="1"/>
        <v/>
      </c>
      <c r="H12" s="69" t="str">
        <f t="shared" si="2"/>
        <v/>
      </c>
      <c r="I12" s="41" t="str">
        <f t="shared" si="3"/>
        <v/>
      </c>
      <c r="Q12" s="65"/>
      <c r="R12" s="47"/>
    </row>
    <row r="13" spans="1:18" ht="22.5" customHeight="1" x14ac:dyDescent="0.2">
      <c r="A13" s="31">
        <f t="shared" si="4"/>
        <v>44414</v>
      </c>
      <c r="B13" s="35">
        <f t="shared" si="0"/>
        <v>44414</v>
      </c>
      <c r="C13" s="30"/>
      <c r="D13" s="42"/>
      <c r="E13" s="78"/>
      <c r="F13" s="78"/>
      <c r="G13" s="68" t="str">
        <f t="shared" si="1"/>
        <v/>
      </c>
      <c r="H13" s="69" t="str">
        <f t="shared" si="2"/>
        <v/>
      </c>
      <c r="I13" s="41" t="str">
        <f t="shared" si="3"/>
        <v/>
      </c>
      <c r="Q13" s="65"/>
      <c r="R13" s="47"/>
    </row>
    <row r="14" spans="1:18" ht="22.5" customHeight="1" x14ac:dyDescent="0.2">
      <c r="A14" s="31">
        <f t="shared" si="4"/>
        <v>44415</v>
      </c>
      <c r="B14" s="35">
        <f t="shared" si="0"/>
        <v>44415</v>
      </c>
      <c r="C14" s="30"/>
      <c r="D14" s="42"/>
      <c r="E14" s="78"/>
      <c r="F14" s="78"/>
      <c r="G14" s="68" t="str">
        <f t="shared" si="1"/>
        <v/>
      </c>
      <c r="H14" s="69" t="str">
        <f t="shared" si="2"/>
        <v/>
      </c>
      <c r="I14" s="41" t="str">
        <f t="shared" si="3"/>
        <v/>
      </c>
      <c r="Q14" s="65"/>
      <c r="R14" s="47"/>
    </row>
    <row r="15" spans="1:18" ht="22.5" customHeight="1" x14ac:dyDescent="0.2">
      <c r="A15" s="31">
        <f t="shared" si="4"/>
        <v>44416</v>
      </c>
      <c r="B15" s="35">
        <f t="shared" si="0"/>
        <v>44416</v>
      </c>
      <c r="C15" s="30"/>
      <c r="D15" s="42"/>
      <c r="E15" s="78"/>
      <c r="F15" s="78"/>
      <c r="G15" s="68" t="str">
        <f t="shared" si="1"/>
        <v/>
      </c>
      <c r="H15" s="69" t="str">
        <f t="shared" si="2"/>
        <v/>
      </c>
      <c r="I15" s="41" t="str">
        <f t="shared" si="3"/>
        <v/>
      </c>
      <c r="Q15" s="65"/>
      <c r="R15" s="47"/>
    </row>
    <row r="16" spans="1:18" ht="22.5" customHeight="1" x14ac:dyDescent="0.2">
      <c r="A16" s="31">
        <f t="shared" si="4"/>
        <v>44417</v>
      </c>
      <c r="B16" s="35">
        <f t="shared" si="0"/>
        <v>44417</v>
      </c>
      <c r="C16" s="30"/>
      <c r="D16" s="42"/>
      <c r="E16" s="78"/>
      <c r="F16" s="78"/>
      <c r="G16" s="68" t="str">
        <f t="shared" si="1"/>
        <v/>
      </c>
      <c r="H16" s="69" t="str">
        <f t="shared" si="2"/>
        <v/>
      </c>
      <c r="I16" s="41" t="str">
        <f t="shared" si="3"/>
        <v/>
      </c>
      <c r="Q16" s="65"/>
      <c r="R16" s="47"/>
    </row>
    <row r="17" spans="1:18" ht="22.5" customHeight="1" x14ac:dyDescent="0.2">
      <c r="A17" s="31">
        <f t="shared" si="4"/>
        <v>44418</v>
      </c>
      <c r="B17" s="35">
        <f t="shared" si="0"/>
        <v>44418</v>
      </c>
      <c r="C17" s="30"/>
      <c r="D17" s="42"/>
      <c r="E17" s="78"/>
      <c r="F17" s="78"/>
      <c r="G17" s="68" t="str">
        <f t="shared" si="1"/>
        <v/>
      </c>
      <c r="H17" s="69" t="str">
        <f t="shared" si="2"/>
        <v/>
      </c>
      <c r="I17" s="41" t="str">
        <f t="shared" si="3"/>
        <v/>
      </c>
      <c r="Q17" s="65"/>
      <c r="R17" s="47"/>
    </row>
    <row r="18" spans="1:18" ht="22.5" customHeight="1" x14ac:dyDescent="0.2">
      <c r="A18" s="31">
        <f t="shared" si="4"/>
        <v>44419</v>
      </c>
      <c r="B18" s="35">
        <f t="shared" si="0"/>
        <v>44419</v>
      </c>
      <c r="C18" s="30"/>
      <c r="D18" s="42"/>
      <c r="E18" s="78"/>
      <c r="F18" s="78"/>
      <c r="G18" s="68" t="str">
        <f t="shared" si="1"/>
        <v/>
      </c>
      <c r="H18" s="69" t="str">
        <f t="shared" si="2"/>
        <v/>
      </c>
      <c r="I18" s="41" t="str">
        <f t="shared" si="3"/>
        <v/>
      </c>
      <c r="Q18" s="65"/>
      <c r="R18" s="47"/>
    </row>
    <row r="19" spans="1:18" ht="22.5" customHeight="1" x14ac:dyDescent="0.2">
      <c r="A19" s="31">
        <f t="shared" si="4"/>
        <v>44420</v>
      </c>
      <c r="B19" s="35">
        <f t="shared" si="0"/>
        <v>44420</v>
      </c>
      <c r="C19" s="30"/>
      <c r="D19" s="42"/>
      <c r="E19" s="78"/>
      <c r="F19" s="78"/>
      <c r="G19" s="68" t="str">
        <f t="shared" si="1"/>
        <v/>
      </c>
      <c r="H19" s="69" t="str">
        <f t="shared" si="2"/>
        <v/>
      </c>
      <c r="I19" s="41" t="str">
        <f t="shared" si="3"/>
        <v/>
      </c>
      <c r="Q19" s="65"/>
      <c r="R19" s="47"/>
    </row>
    <row r="20" spans="1:18" ht="22.5" customHeight="1" x14ac:dyDescent="0.2">
      <c r="A20" s="31">
        <f t="shared" si="4"/>
        <v>44421</v>
      </c>
      <c r="B20" s="35">
        <f t="shared" si="0"/>
        <v>44421</v>
      </c>
      <c r="C20" s="30"/>
      <c r="D20" s="42"/>
      <c r="E20" s="78"/>
      <c r="F20" s="78"/>
      <c r="G20" s="68" t="str">
        <f t="shared" si="1"/>
        <v/>
      </c>
      <c r="H20" s="69" t="str">
        <f t="shared" si="2"/>
        <v/>
      </c>
      <c r="I20" s="41" t="str">
        <f t="shared" si="3"/>
        <v/>
      </c>
      <c r="Q20" s="65"/>
      <c r="R20" s="47"/>
    </row>
    <row r="21" spans="1:18" ht="22.5" customHeight="1" x14ac:dyDescent="0.2">
      <c r="A21" s="31">
        <f t="shared" si="4"/>
        <v>44422</v>
      </c>
      <c r="B21" s="35">
        <f t="shared" si="0"/>
        <v>44422</v>
      </c>
      <c r="C21" s="30"/>
      <c r="D21" s="42"/>
      <c r="E21" s="78"/>
      <c r="F21" s="78"/>
      <c r="G21" s="68" t="str">
        <f t="shared" si="1"/>
        <v/>
      </c>
      <c r="H21" s="69" t="str">
        <f t="shared" si="2"/>
        <v/>
      </c>
      <c r="I21" s="41" t="str">
        <f t="shared" si="3"/>
        <v/>
      </c>
      <c r="Q21" s="65"/>
      <c r="R21" s="47"/>
    </row>
    <row r="22" spans="1:18" ht="22.5" customHeight="1" x14ac:dyDescent="0.2">
      <c r="A22" s="31">
        <f t="shared" si="4"/>
        <v>44423</v>
      </c>
      <c r="B22" s="35">
        <f t="shared" si="0"/>
        <v>44423</v>
      </c>
      <c r="C22" s="30"/>
      <c r="D22" s="42"/>
      <c r="E22" s="78"/>
      <c r="F22" s="78"/>
      <c r="G22" s="68" t="str">
        <f t="shared" si="1"/>
        <v/>
      </c>
      <c r="H22" s="69" t="str">
        <f t="shared" si="2"/>
        <v/>
      </c>
      <c r="I22" s="41" t="str">
        <f t="shared" si="3"/>
        <v/>
      </c>
      <c r="Q22" s="65"/>
      <c r="R22" s="47"/>
    </row>
    <row r="23" spans="1:18" ht="22.5" customHeight="1" x14ac:dyDescent="0.2">
      <c r="A23" s="31">
        <f t="shared" si="4"/>
        <v>44424</v>
      </c>
      <c r="B23" s="35">
        <f t="shared" si="0"/>
        <v>44424</v>
      </c>
      <c r="C23" s="30"/>
      <c r="D23" s="42"/>
      <c r="E23" s="78"/>
      <c r="F23" s="78"/>
      <c r="G23" s="68" t="str">
        <f t="shared" si="1"/>
        <v/>
      </c>
      <c r="H23" s="69" t="str">
        <f t="shared" si="2"/>
        <v/>
      </c>
      <c r="I23" s="41" t="str">
        <f t="shared" si="3"/>
        <v/>
      </c>
      <c r="Q23" s="65"/>
      <c r="R23" s="47"/>
    </row>
    <row r="24" spans="1:18" ht="22.5" customHeight="1" x14ac:dyDescent="0.2">
      <c r="A24" s="31">
        <f t="shared" si="4"/>
        <v>44425</v>
      </c>
      <c r="B24" s="35">
        <f t="shared" si="0"/>
        <v>44425</v>
      </c>
      <c r="C24" s="30"/>
      <c r="D24" s="42"/>
      <c r="E24" s="78"/>
      <c r="F24" s="78"/>
      <c r="G24" s="68" t="str">
        <f t="shared" si="1"/>
        <v/>
      </c>
      <c r="H24" s="69" t="str">
        <f t="shared" si="2"/>
        <v/>
      </c>
      <c r="I24" s="41" t="str">
        <f t="shared" si="3"/>
        <v/>
      </c>
      <c r="Q24" s="65"/>
      <c r="R24" s="47"/>
    </row>
    <row r="25" spans="1:18" ht="22.5" customHeight="1" x14ac:dyDescent="0.2">
      <c r="A25" s="31">
        <f t="shared" si="4"/>
        <v>44426</v>
      </c>
      <c r="B25" s="35">
        <f t="shared" si="0"/>
        <v>44426</v>
      </c>
      <c r="C25" s="30"/>
      <c r="D25" s="42"/>
      <c r="E25" s="78"/>
      <c r="F25" s="78"/>
      <c r="G25" s="68" t="str">
        <f t="shared" si="1"/>
        <v/>
      </c>
      <c r="H25" s="69" t="str">
        <f t="shared" si="2"/>
        <v/>
      </c>
      <c r="I25" s="41" t="str">
        <f t="shared" si="3"/>
        <v/>
      </c>
      <c r="Q25" s="65"/>
      <c r="R25" s="47"/>
    </row>
    <row r="26" spans="1:18" ht="22.5" customHeight="1" x14ac:dyDescent="0.2">
      <c r="A26" s="31">
        <f t="shared" si="4"/>
        <v>44427</v>
      </c>
      <c r="B26" s="35">
        <f t="shared" si="0"/>
        <v>44427</v>
      </c>
      <c r="C26" s="30"/>
      <c r="D26" s="42"/>
      <c r="E26" s="78"/>
      <c r="F26" s="78"/>
      <c r="G26" s="68" t="str">
        <f t="shared" si="1"/>
        <v/>
      </c>
      <c r="H26" s="69" t="str">
        <f t="shared" si="2"/>
        <v/>
      </c>
      <c r="I26" s="41" t="str">
        <f t="shared" si="3"/>
        <v/>
      </c>
      <c r="Q26" s="65"/>
      <c r="R26" s="47"/>
    </row>
    <row r="27" spans="1:18" ht="22.5" customHeight="1" x14ac:dyDescent="0.2">
      <c r="A27" s="31">
        <f t="shared" si="4"/>
        <v>44428</v>
      </c>
      <c r="B27" s="35">
        <f t="shared" si="0"/>
        <v>44428</v>
      </c>
      <c r="C27" s="30"/>
      <c r="D27" s="42"/>
      <c r="E27" s="78"/>
      <c r="F27" s="78"/>
      <c r="G27" s="68" t="str">
        <f t="shared" si="1"/>
        <v/>
      </c>
      <c r="H27" s="69" t="str">
        <f t="shared" si="2"/>
        <v/>
      </c>
      <c r="I27" s="41" t="str">
        <f t="shared" si="3"/>
        <v/>
      </c>
      <c r="Q27" s="65"/>
      <c r="R27" s="47"/>
    </row>
    <row r="28" spans="1:18" ht="22.5" customHeight="1" x14ac:dyDescent="0.2">
      <c r="A28" s="31">
        <f t="shared" si="4"/>
        <v>44429</v>
      </c>
      <c r="B28" s="35">
        <f t="shared" si="0"/>
        <v>44429</v>
      </c>
      <c r="C28" s="30"/>
      <c r="D28" s="42"/>
      <c r="E28" s="78"/>
      <c r="F28" s="78"/>
      <c r="G28" s="68" t="str">
        <f t="shared" si="1"/>
        <v/>
      </c>
      <c r="H28" s="69" t="str">
        <f t="shared" si="2"/>
        <v/>
      </c>
      <c r="I28" s="41" t="str">
        <f t="shared" si="3"/>
        <v/>
      </c>
      <c r="Q28" s="65"/>
      <c r="R28" s="47"/>
    </row>
    <row r="29" spans="1:18" ht="22.5" customHeight="1" x14ac:dyDescent="0.2">
      <c r="A29" s="31">
        <f t="shared" si="4"/>
        <v>44430</v>
      </c>
      <c r="B29" s="35">
        <f t="shared" si="0"/>
        <v>44430</v>
      </c>
      <c r="C29" s="30"/>
      <c r="D29" s="42"/>
      <c r="E29" s="78"/>
      <c r="F29" s="78"/>
      <c r="G29" s="68" t="str">
        <f t="shared" si="1"/>
        <v/>
      </c>
      <c r="H29" s="69" t="str">
        <f t="shared" si="2"/>
        <v/>
      </c>
      <c r="I29" s="41" t="str">
        <f t="shared" si="3"/>
        <v/>
      </c>
    </row>
    <row r="30" spans="1:18" ht="22.5" customHeight="1" x14ac:dyDescent="0.2">
      <c r="A30" s="31">
        <f t="shared" si="4"/>
        <v>44431</v>
      </c>
      <c r="B30" s="35">
        <f t="shared" si="0"/>
        <v>44431</v>
      </c>
      <c r="C30" s="30"/>
      <c r="D30" s="42"/>
      <c r="E30" s="78"/>
      <c r="F30" s="78"/>
      <c r="G30" s="68" t="str">
        <f t="shared" si="1"/>
        <v/>
      </c>
      <c r="H30" s="69" t="str">
        <f t="shared" si="2"/>
        <v/>
      </c>
      <c r="I30" s="41" t="str">
        <f t="shared" si="3"/>
        <v/>
      </c>
    </row>
    <row r="31" spans="1:18" ht="22.5" customHeight="1" x14ac:dyDescent="0.2">
      <c r="A31" s="31">
        <f t="shared" si="4"/>
        <v>44432</v>
      </c>
      <c r="B31" s="35">
        <f t="shared" si="0"/>
        <v>44432</v>
      </c>
      <c r="C31" s="30"/>
      <c r="D31" s="42"/>
      <c r="E31" s="78"/>
      <c r="F31" s="78"/>
      <c r="G31" s="68" t="str">
        <f t="shared" si="1"/>
        <v/>
      </c>
      <c r="H31" s="69" t="str">
        <f t="shared" si="2"/>
        <v/>
      </c>
      <c r="I31" s="41" t="str">
        <f t="shared" si="3"/>
        <v/>
      </c>
    </row>
    <row r="32" spans="1:18" ht="22.5" customHeight="1" x14ac:dyDescent="0.2">
      <c r="A32" s="31">
        <f t="shared" si="4"/>
        <v>44433</v>
      </c>
      <c r="B32" s="35">
        <f t="shared" si="0"/>
        <v>44433</v>
      </c>
      <c r="C32" s="30"/>
      <c r="D32" s="42"/>
      <c r="E32" s="78"/>
      <c r="F32" s="78"/>
      <c r="G32" s="68" t="str">
        <f t="shared" si="1"/>
        <v/>
      </c>
      <c r="H32" s="69" t="str">
        <f t="shared" si="2"/>
        <v/>
      </c>
      <c r="I32" s="41" t="str">
        <f t="shared" si="3"/>
        <v/>
      </c>
    </row>
    <row r="33" spans="1:9" ht="22.5" customHeight="1" x14ac:dyDescent="0.2">
      <c r="A33" s="31">
        <f t="shared" si="4"/>
        <v>44434</v>
      </c>
      <c r="B33" s="35">
        <f t="shared" si="0"/>
        <v>44434</v>
      </c>
      <c r="C33" s="30"/>
      <c r="D33" s="42"/>
      <c r="E33" s="78"/>
      <c r="F33" s="78"/>
      <c r="G33" s="68" t="str">
        <f t="shared" si="1"/>
        <v/>
      </c>
      <c r="H33" s="69" t="str">
        <f t="shared" si="2"/>
        <v/>
      </c>
      <c r="I33" s="41" t="str">
        <f t="shared" si="3"/>
        <v/>
      </c>
    </row>
    <row r="34" spans="1:9" ht="22.5" customHeight="1" x14ac:dyDescent="0.2">
      <c r="A34" s="31">
        <f t="shared" si="4"/>
        <v>44435</v>
      </c>
      <c r="B34" s="35">
        <f t="shared" si="0"/>
        <v>44435</v>
      </c>
      <c r="C34" s="30"/>
      <c r="D34" s="42"/>
      <c r="E34" s="78"/>
      <c r="F34" s="78"/>
      <c r="G34" s="68" t="str">
        <f t="shared" si="1"/>
        <v/>
      </c>
      <c r="H34" s="69" t="str">
        <f t="shared" si="2"/>
        <v/>
      </c>
      <c r="I34" s="41" t="str">
        <f t="shared" si="3"/>
        <v/>
      </c>
    </row>
    <row r="35" spans="1:9" ht="22.5" customHeight="1" x14ac:dyDescent="0.2">
      <c r="A35" s="31">
        <f t="shared" si="4"/>
        <v>44436</v>
      </c>
      <c r="B35" s="35">
        <f t="shared" si="0"/>
        <v>44436</v>
      </c>
      <c r="C35" s="30"/>
      <c r="D35" s="42"/>
      <c r="E35" s="78"/>
      <c r="F35" s="78"/>
      <c r="G35" s="68" t="str">
        <f t="shared" si="1"/>
        <v/>
      </c>
      <c r="H35" s="69" t="str">
        <f t="shared" si="2"/>
        <v/>
      </c>
      <c r="I35" s="41" t="str">
        <f t="shared" si="3"/>
        <v/>
      </c>
    </row>
    <row r="36" spans="1:9" ht="22.5" customHeight="1" x14ac:dyDescent="0.2">
      <c r="A36" s="31">
        <f t="shared" si="4"/>
        <v>44437</v>
      </c>
      <c r="B36" s="35">
        <f t="shared" si="0"/>
        <v>44437</v>
      </c>
      <c r="C36" s="30"/>
      <c r="D36" s="42"/>
      <c r="E36" s="78"/>
      <c r="F36" s="78"/>
      <c r="G36" s="68" t="str">
        <f t="shared" si="1"/>
        <v/>
      </c>
      <c r="H36" s="69" t="str">
        <f t="shared" si="2"/>
        <v/>
      </c>
      <c r="I36" s="41" t="str">
        <f t="shared" si="3"/>
        <v/>
      </c>
    </row>
    <row r="37" spans="1:9" ht="22.5" customHeight="1" x14ac:dyDescent="0.2">
      <c r="A37" s="31">
        <f t="shared" si="4"/>
        <v>44438</v>
      </c>
      <c r="B37" s="35">
        <f t="shared" si="0"/>
        <v>44438</v>
      </c>
      <c r="C37" s="30"/>
      <c r="D37" s="42"/>
      <c r="E37" s="78"/>
      <c r="F37" s="78"/>
      <c r="G37" s="68" t="str">
        <f t="shared" si="1"/>
        <v/>
      </c>
      <c r="H37" s="69" t="str">
        <f t="shared" si="2"/>
        <v/>
      </c>
      <c r="I37" s="41" t="str">
        <f t="shared" si="3"/>
        <v/>
      </c>
    </row>
    <row r="38" spans="1:9" ht="22.5" customHeight="1" thickBot="1" x14ac:dyDescent="0.25">
      <c r="A38" s="36">
        <f t="shared" si="4"/>
        <v>44439</v>
      </c>
      <c r="B38" s="37">
        <f t="shared" si="0"/>
        <v>44439</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23" priority="1" stopIfTrue="1">
      <formula>WEEKDAY($A8)=1</formula>
    </cfRule>
    <cfRule type="expression" dxfId="22" priority="2" stopIfTrue="1">
      <formula>WEEKDAY($A8)=7</formula>
    </cfRule>
    <cfRule type="expression" dxfId="21" priority="3" stopIfTrue="1">
      <formula>国民の祝日($A8,0)</formula>
    </cfRule>
  </conditionalFormatting>
  <dataValidations count="1">
    <dataValidation type="list" showInputMessage="1" sqref="D8:D38" xr:uid="{00000000-0002-0000-08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R41"/>
  <sheetViews>
    <sheetView view="pageBreakPreview" zoomScale="85" zoomScaleNormal="100" zoomScaleSheetLayoutView="85" workbookViewId="0">
      <selection activeCell="C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DATE(YEAR([0]!年度開始年月日),MONTH([0]!年度開始年月日)+5,DAY([0]!年度開始年月日))</f>
        <v>44440</v>
      </c>
      <c r="B1" s="99"/>
      <c r="C1" s="99"/>
      <c r="D1" s="43" t="s">
        <v>0</v>
      </c>
      <c r="F1" s="43"/>
      <c r="G1" s="43"/>
      <c r="H1" s="45" t="s">
        <v>61</v>
      </c>
      <c r="I1" s="46"/>
    </row>
    <row r="2" spans="1:18" ht="15" customHeight="1" x14ac:dyDescent="0.2">
      <c r="A2" s="47"/>
      <c r="B2" s="47" t="s">
        <v>8</v>
      </c>
      <c r="C2" s="48">
        <f>A1</f>
        <v>44440</v>
      </c>
      <c r="D2" s="49"/>
      <c r="F2" s="50"/>
      <c r="G2" s="50"/>
      <c r="H2" s="50"/>
      <c r="I2" s="46"/>
    </row>
    <row r="3" spans="1:18" ht="15" customHeight="1" x14ac:dyDescent="0.2">
      <c r="A3" s="47"/>
      <c r="B3" s="47" t="s">
        <v>7</v>
      </c>
      <c r="C3" s="48">
        <f>DATE(YEAR(C2),MONTH(C2)+1,1)-1</f>
        <v>44469</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44469</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44440</v>
      </c>
      <c r="B8" s="39">
        <f t="shared" ref="B8:B38" si="0">A8</f>
        <v>44440</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44441</v>
      </c>
      <c r="B9" s="35">
        <f t="shared" si="0"/>
        <v>44441</v>
      </c>
      <c r="C9" s="30"/>
      <c r="D9" s="42"/>
      <c r="E9" s="78"/>
      <c r="F9" s="78"/>
      <c r="G9" s="68" t="str">
        <f t="shared" si="1"/>
        <v/>
      </c>
      <c r="H9" s="69" t="str">
        <f t="shared" si="2"/>
        <v/>
      </c>
      <c r="I9" s="41" t="str">
        <f t="shared" si="3"/>
        <v/>
      </c>
      <c r="Q9" s="65"/>
      <c r="R9" s="47"/>
    </row>
    <row r="10" spans="1:18" ht="22.5" customHeight="1" x14ac:dyDescent="0.2">
      <c r="A10" s="31">
        <f t="shared" si="4"/>
        <v>44442</v>
      </c>
      <c r="B10" s="35">
        <f t="shared" si="0"/>
        <v>44442</v>
      </c>
      <c r="C10" s="30"/>
      <c r="D10" s="42"/>
      <c r="E10" s="78"/>
      <c r="F10" s="78"/>
      <c r="G10" s="68" t="str">
        <f t="shared" si="1"/>
        <v/>
      </c>
      <c r="H10" s="69" t="str">
        <f t="shared" si="2"/>
        <v/>
      </c>
      <c r="I10" s="41" t="str">
        <f t="shared" si="3"/>
        <v/>
      </c>
      <c r="Q10" s="65"/>
      <c r="R10" s="47"/>
    </row>
    <row r="11" spans="1:18" ht="22.5" customHeight="1" x14ac:dyDescent="0.2">
      <c r="A11" s="31">
        <f t="shared" si="4"/>
        <v>44443</v>
      </c>
      <c r="B11" s="35">
        <f t="shared" si="0"/>
        <v>44443</v>
      </c>
      <c r="C11" s="30"/>
      <c r="D11" s="42"/>
      <c r="E11" s="78"/>
      <c r="F11" s="78"/>
      <c r="G11" s="68" t="str">
        <f t="shared" si="1"/>
        <v/>
      </c>
      <c r="H11" s="69" t="str">
        <f t="shared" si="2"/>
        <v/>
      </c>
      <c r="I11" s="41" t="str">
        <f t="shared" si="3"/>
        <v/>
      </c>
      <c r="Q11" s="65"/>
      <c r="R11" s="47"/>
    </row>
    <row r="12" spans="1:18" ht="22.5" customHeight="1" x14ac:dyDescent="0.2">
      <c r="A12" s="31">
        <f t="shared" si="4"/>
        <v>44444</v>
      </c>
      <c r="B12" s="35">
        <f t="shared" si="0"/>
        <v>44444</v>
      </c>
      <c r="C12" s="30"/>
      <c r="D12" s="42"/>
      <c r="E12" s="78"/>
      <c r="F12" s="78"/>
      <c r="G12" s="68" t="str">
        <f t="shared" si="1"/>
        <v/>
      </c>
      <c r="H12" s="69" t="str">
        <f t="shared" si="2"/>
        <v/>
      </c>
      <c r="I12" s="41" t="str">
        <f t="shared" si="3"/>
        <v/>
      </c>
      <c r="Q12" s="65"/>
      <c r="R12" s="47"/>
    </row>
    <row r="13" spans="1:18" ht="22.5" customHeight="1" x14ac:dyDescent="0.2">
      <c r="A13" s="31">
        <f t="shared" si="4"/>
        <v>44445</v>
      </c>
      <c r="B13" s="35">
        <f t="shared" si="0"/>
        <v>44445</v>
      </c>
      <c r="C13" s="30"/>
      <c r="D13" s="42"/>
      <c r="E13" s="78"/>
      <c r="F13" s="78"/>
      <c r="G13" s="68" t="str">
        <f t="shared" si="1"/>
        <v/>
      </c>
      <c r="H13" s="69" t="str">
        <f t="shared" si="2"/>
        <v/>
      </c>
      <c r="I13" s="41" t="str">
        <f t="shared" si="3"/>
        <v/>
      </c>
      <c r="Q13" s="65"/>
      <c r="R13" s="47"/>
    </row>
    <row r="14" spans="1:18" ht="22.5" customHeight="1" x14ac:dyDescent="0.2">
      <c r="A14" s="31">
        <f t="shared" si="4"/>
        <v>44446</v>
      </c>
      <c r="B14" s="35">
        <f t="shared" si="0"/>
        <v>44446</v>
      </c>
      <c r="C14" s="30"/>
      <c r="D14" s="42"/>
      <c r="E14" s="78"/>
      <c r="F14" s="78"/>
      <c r="G14" s="68" t="str">
        <f t="shared" si="1"/>
        <v/>
      </c>
      <c r="H14" s="69" t="str">
        <f t="shared" si="2"/>
        <v/>
      </c>
      <c r="I14" s="41" t="str">
        <f t="shared" si="3"/>
        <v/>
      </c>
      <c r="Q14" s="65"/>
      <c r="R14" s="47"/>
    </row>
    <row r="15" spans="1:18" ht="22.5" customHeight="1" x14ac:dyDescent="0.2">
      <c r="A15" s="31">
        <f t="shared" si="4"/>
        <v>44447</v>
      </c>
      <c r="B15" s="35">
        <f t="shared" si="0"/>
        <v>44447</v>
      </c>
      <c r="C15" s="30"/>
      <c r="D15" s="42"/>
      <c r="E15" s="78"/>
      <c r="F15" s="78"/>
      <c r="G15" s="68" t="str">
        <f t="shared" si="1"/>
        <v/>
      </c>
      <c r="H15" s="69" t="str">
        <f t="shared" si="2"/>
        <v/>
      </c>
      <c r="I15" s="41" t="str">
        <f t="shared" si="3"/>
        <v/>
      </c>
      <c r="Q15" s="65"/>
      <c r="R15" s="47"/>
    </row>
    <row r="16" spans="1:18" ht="22.5" customHeight="1" x14ac:dyDescent="0.2">
      <c r="A16" s="31">
        <f t="shared" si="4"/>
        <v>44448</v>
      </c>
      <c r="B16" s="35">
        <f t="shared" si="0"/>
        <v>44448</v>
      </c>
      <c r="C16" s="30"/>
      <c r="D16" s="42"/>
      <c r="E16" s="78"/>
      <c r="F16" s="78"/>
      <c r="G16" s="68" t="str">
        <f t="shared" si="1"/>
        <v/>
      </c>
      <c r="H16" s="69" t="str">
        <f t="shared" si="2"/>
        <v/>
      </c>
      <c r="I16" s="41" t="str">
        <f t="shared" si="3"/>
        <v/>
      </c>
      <c r="Q16" s="65"/>
      <c r="R16" s="47"/>
    </row>
    <row r="17" spans="1:18" ht="22.5" customHeight="1" x14ac:dyDescent="0.2">
      <c r="A17" s="31">
        <f t="shared" si="4"/>
        <v>44449</v>
      </c>
      <c r="B17" s="35">
        <f t="shared" si="0"/>
        <v>44449</v>
      </c>
      <c r="C17" s="30"/>
      <c r="D17" s="42"/>
      <c r="E17" s="78"/>
      <c r="F17" s="78"/>
      <c r="G17" s="68" t="str">
        <f t="shared" si="1"/>
        <v/>
      </c>
      <c r="H17" s="69" t="str">
        <f t="shared" si="2"/>
        <v/>
      </c>
      <c r="I17" s="41" t="str">
        <f t="shared" si="3"/>
        <v/>
      </c>
      <c r="Q17" s="65"/>
      <c r="R17" s="47"/>
    </row>
    <row r="18" spans="1:18" ht="22.5" customHeight="1" x14ac:dyDescent="0.2">
      <c r="A18" s="31">
        <f t="shared" si="4"/>
        <v>44450</v>
      </c>
      <c r="B18" s="35">
        <f t="shared" si="0"/>
        <v>44450</v>
      </c>
      <c r="C18" s="30"/>
      <c r="D18" s="42"/>
      <c r="E18" s="78"/>
      <c r="F18" s="78"/>
      <c r="G18" s="68" t="str">
        <f t="shared" si="1"/>
        <v/>
      </c>
      <c r="H18" s="69" t="str">
        <f t="shared" si="2"/>
        <v/>
      </c>
      <c r="I18" s="41" t="str">
        <f t="shared" si="3"/>
        <v/>
      </c>
      <c r="Q18" s="65"/>
      <c r="R18" s="47"/>
    </row>
    <row r="19" spans="1:18" ht="22.5" customHeight="1" x14ac:dyDescent="0.2">
      <c r="A19" s="31">
        <f t="shared" si="4"/>
        <v>44451</v>
      </c>
      <c r="B19" s="35">
        <f t="shared" si="0"/>
        <v>44451</v>
      </c>
      <c r="C19" s="30"/>
      <c r="D19" s="42"/>
      <c r="E19" s="78"/>
      <c r="F19" s="78"/>
      <c r="G19" s="68" t="str">
        <f t="shared" si="1"/>
        <v/>
      </c>
      <c r="H19" s="69" t="str">
        <f t="shared" si="2"/>
        <v/>
      </c>
      <c r="I19" s="41" t="str">
        <f t="shared" si="3"/>
        <v/>
      </c>
      <c r="Q19" s="65"/>
      <c r="R19" s="47"/>
    </row>
    <row r="20" spans="1:18" ht="22.5" customHeight="1" x14ac:dyDescent="0.2">
      <c r="A20" s="31">
        <f t="shared" si="4"/>
        <v>44452</v>
      </c>
      <c r="B20" s="35">
        <f t="shared" si="0"/>
        <v>44452</v>
      </c>
      <c r="C20" s="30"/>
      <c r="D20" s="42"/>
      <c r="E20" s="78"/>
      <c r="F20" s="78"/>
      <c r="G20" s="68" t="str">
        <f t="shared" si="1"/>
        <v/>
      </c>
      <c r="H20" s="69" t="str">
        <f t="shared" si="2"/>
        <v/>
      </c>
      <c r="I20" s="41" t="str">
        <f t="shared" si="3"/>
        <v/>
      </c>
      <c r="Q20" s="65"/>
      <c r="R20" s="47"/>
    </row>
    <row r="21" spans="1:18" ht="22.5" customHeight="1" x14ac:dyDescent="0.2">
      <c r="A21" s="31">
        <f t="shared" si="4"/>
        <v>44453</v>
      </c>
      <c r="B21" s="35">
        <f t="shared" si="0"/>
        <v>44453</v>
      </c>
      <c r="C21" s="30"/>
      <c r="D21" s="42"/>
      <c r="E21" s="78"/>
      <c r="F21" s="78"/>
      <c r="G21" s="68" t="str">
        <f t="shared" si="1"/>
        <v/>
      </c>
      <c r="H21" s="69" t="str">
        <f t="shared" si="2"/>
        <v/>
      </c>
      <c r="I21" s="41" t="str">
        <f t="shared" si="3"/>
        <v/>
      </c>
      <c r="Q21" s="65"/>
      <c r="R21" s="47"/>
    </row>
    <row r="22" spans="1:18" ht="22.5" customHeight="1" x14ac:dyDescent="0.2">
      <c r="A22" s="31">
        <f t="shared" si="4"/>
        <v>44454</v>
      </c>
      <c r="B22" s="35">
        <f t="shared" si="0"/>
        <v>44454</v>
      </c>
      <c r="C22" s="30"/>
      <c r="D22" s="42"/>
      <c r="E22" s="78"/>
      <c r="F22" s="78"/>
      <c r="G22" s="68" t="str">
        <f t="shared" si="1"/>
        <v/>
      </c>
      <c r="H22" s="69" t="str">
        <f t="shared" si="2"/>
        <v/>
      </c>
      <c r="I22" s="41" t="str">
        <f t="shared" si="3"/>
        <v/>
      </c>
      <c r="Q22" s="65"/>
      <c r="R22" s="47"/>
    </row>
    <row r="23" spans="1:18" ht="22.5" customHeight="1" x14ac:dyDescent="0.2">
      <c r="A23" s="31">
        <f t="shared" si="4"/>
        <v>44455</v>
      </c>
      <c r="B23" s="35">
        <f t="shared" si="0"/>
        <v>44455</v>
      </c>
      <c r="C23" s="30"/>
      <c r="D23" s="42"/>
      <c r="E23" s="78"/>
      <c r="F23" s="78"/>
      <c r="G23" s="68" t="str">
        <f t="shared" si="1"/>
        <v/>
      </c>
      <c r="H23" s="69" t="str">
        <f t="shared" si="2"/>
        <v/>
      </c>
      <c r="I23" s="41" t="str">
        <f t="shared" si="3"/>
        <v/>
      </c>
      <c r="Q23" s="65"/>
      <c r="R23" s="47"/>
    </row>
    <row r="24" spans="1:18" ht="22.5" customHeight="1" x14ac:dyDescent="0.2">
      <c r="A24" s="31">
        <f t="shared" si="4"/>
        <v>44456</v>
      </c>
      <c r="B24" s="35">
        <f t="shared" si="0"/>
        <v>44456</v>
      </c>
      <c r="C24" s="30"/>
      <c r="D24" s="42"/>
      <c r="E24" s="78"/>
      <c r="F24" s="78"/>
      <c r="G24" s="68" t="str">
        <f t="shared" si="1"/>
        <v/>
      </c>
      <c r="H24" s="69" t="str">
        <f t="shared" si="2"/>
        <v/>
      </c>
      <c r="I24" s="41" t="str">
        <f t="shared" si="3"/>
        <v/>
      </c>
      <c r="Q24" s="65"/>
      <c r="R24" s="47"/>
    </row>
    <row r="25" spans="1:18" ht="22.5" customHeight="1" x14ac:dyDescent="0.2">
      <c r="A25" s="31">
        <f t="shared" si="4"/>
        <v>44457</v>
      </c>
      <c r="B25" s="35">
        <f t="shared" si="0"/>
        <v>44457</v>
      </c>
      <c r="C25" s="30"/>
      <c r="D25" s="42"/>
      <c r="E25" s="78"/>
      <c r="F25" s="78"/>
      <c r="G25" s="68" t="str">
        <f t="shared" si="1"/>
        <v/>
      </c>
      <c r="H25" s="69" t="str">
        <f t="shared" si="2"/>
        <v/>
      </c>
      <c r="I25" s="41" t="str">
        <f t="shared" si="3"/>
        <v/>
      </c>
      <c r="Q25" s="65"/>
      <c r="R25" s="47"/>
    </row>
    <row r="26" spans="1:18" ht="22.5" customHeight="1" x14ac:dyDescent="0.2">
      <c r="A26" s="31">
        <f t="shared" si="4"/>
        <v>44458</v>
      </c>
      <c r="B26" s="35">
        <f t="shared" si="0"/>
        <v>44458</v>
      </c>
      <c r="C26" s="30"/>
      <c r="D26" s="42"/>
      <c r="E26" s="78"/>
      <c r="F26" s="78"/>
      <c r="G26" s="68" t="str">
        <f t="shared" si="1"/>
        <v/>
      </c>
      <c r="H26" s="69" t="str">
        <f t="shared" si="2"/>
        <v/>
      </c>
      <c r="I26" s="41" t="str">
        <f t="shared" si="3"/>
        <v/>
      </c>
      <c r="Q26" s="65"/>
      <c r="R26" s="47"/>
    </row>
    <row r="27" spans="1:18" ht="22.5" customHeight="1" x14ac:dyDescent="0.2">
      <c r="A27" s="31">
        <f t="shared" si="4"/>
        <v>44459</v>
      </c>
      <c r="B27" s="35">
        <f t="shared" si="0"/>
        <v>44459</v>
      </c>
      <c r="C27" s="30"/>
      <c r="D27" s="42"/>
      <c r="E27" s="78"/>
      <c r="F27" s="78"/>
      <c r="G27" s="68" t="str">
        <f t="shared" si="1"/>
        <v/>
      </c>
      <c r="H27" s="69" t="str">
        <f t="shared" si="2"/>
        <v/>
      </c>
      <c r="I27" s="41" t="str">
        <f t="shared" si="3"/>
        <v/>
      </c>
      <c r="Q27" s="65"/>
      <c r="R27" s="47"/>
    </row>
    <row r="28" spans="1:18" ht="22.5" customHeight="1" x14ac:dyDescent="0.2">
      <c r="A28" s="31">
        <f t="shared" si="4"/>
        <v>44460</v>
      </c>
      <c r="B28" s="35">
        <f t="shared" si="0"/>
        <v>44460</v>
      </c>
      <c r="C28" s="30"/>
      <c r="D28" s="42"/>
      <c r="E28" s="78"/>
      <c r="F28" s="78"/>
      <c r="G28" s="68" t="str">
        <f t="shared" si="1"/>
        <v/>
      </c>
      <c r="H28" s="69" t="str">
        <f t="shared" si="2"/>
        <v/>
      </c>
      <c r="I28" s="41" t="str">
        <f t="shared" si="3"/>
        <v/>
      </c>
      <c r="Q28" s="65"/>
      <c r="R28" s="47"/>
    </row>
    <row r="29" spans="1:18" ht="22.5" customHeight="1" x14ac:dyDescent="0.2">
      <c r="A29" s="31">
        <f t="shared" si="4"/>
        <v>44461</v>
      </c>
      <c r="B29" s="35">
        <f t="shared" si="0"/>
        <v>44461</v>
      </c>
      <c r="C29" s="30"/>
      <c r="D29" s="42"/>
      <c r="E29" s="78"/>
      <c r="F29" s="78"/>
      <c r="G29" s="68" t="str">
        <f t="shared" si="1"/>
        <v/>
      </c>
      <c r="H29" s="69" t="str">
        <f t="shared" si="2"/>
        <v/>
      </c>
      <c r="I29" s="41" t="str">
        <f t="shared" si="3"/>
        <v/>
      </c>
    </row>
    <row r="30" spans="1:18" ht="22.5" customHeight="1" x14ac:dyDescent="0.2">
      <c r="A30" s="31">
        <f t="shared" si="4"/>
        <v>44462</v>
      </c>
      <c r="B30" s="35">
        <f t="shared" si="0"/>
        <v>44462</v>
      </c>
      <c r="C30" s="30"/>
      <c r="D30" s="42"/>
      <c r="E30" s="78"/>
      <c r="F30" s="78"/>
      <c r="G30" s="68" t="str">
        <f t="shared" si="1"/>
        <v/>
      </c>
      <c r="H30" s="69" t="str">
        <f t="shared" si="2"/>
        <v/>
      </c>
      <c r="I30" s="41" t="str">
        <f t="shared" si="3"/>
        <v/>
      </c>
    </row>
    <row r="31" spans="1:18" ht="22.5" customHeight="1" x14ac:dyDescent="0.2">
      <c r="A31" s="31">
        <f t="shared" si="4"/>
        <v>44463</v>
      </c>
      <c r="B31" s="35">
        <f t="shared" si="0"/>
        <v>44463</v>
      </c>
      <c r="C31" s="30"/>
      <c r="D31" s="42"/>
      <c r="E31" s="78"/>
      <c r="F31" s="78"/>
      <c r="G31" s="68" t="str">
        <f t="shared" si="1"/>
        <v/>
      </c>
      <c r="H31" s="69" t="str">
        <f t="shared" si="2"/>
        <v/>
      </c>
      <c r="I31" s="41" t="str">
        <f t="shared" si="3"/>
        <v/>
      </c>
    </row>
    <row r="32" spans="1:18" ht="22.5" customHeight="1" x14ac:dyDescent="0.2">
      <c r="A32" s="31">
        <f t="shared" si="4"/>
        <v>44464</v>
      </c>
      <c r="B32" s="35">
        <f t="shared" si="0"/>
        <v>44464</v>
      </c>
      <c r="C32" s="30"/>
      <c r="D32" s="42"/>
      <c r="E32" s="78"/>
      <c r="F32" s="78"/>
      <c r="G32" s="68" t="str">
        <f t="shared" si="1"/>
        <v/>
      </c>
      <c r="H32" s="69" t="str">
        <f t="shared" si="2"/>
        <v/>
      </c>
      <c r="I32" s="41" t="str">
        <f t="shared" si="3"/>
        <v/>
      </c>
    </row>
    <row r="33" spans="1:9" ht="22.5" customHeight="1" x14ac:dyDescent="0.2">
      <c r="A33" s="31">
        <f t="shared" si="4"/>
        <v>44465</v>
      </c>
      <c r="B33" s="35">
        <f t="shared" si="0"/>
        <v>44465</v>
      </c>
      <c r="C33" s="30"/>
      <c r="D33" s="42"/>
      <c r="E33" s="78"/>
      <c r="F33" s="78"/>
      <c r="G33" s="68" t="str">
        <f t="shared" si="1"/>
        <v/>
      </c>
      <c r="H33" s="69" t="str">
        <f t="shared" si="2"/>
        <v/>
      </c>
      <c r="I33" s="41" t="str">
        <f t="shared" si="3"/>
        <v/>
      </c>
    </row>
    <row r="34" spans="1:9" ht="22.5" customHeight="1" x14ac:dyDescent="0.2">
      <c r="A34" s="31">
        <f t="shared" si="4"/>
        <v>44466</v>
      </c>
      <c r="B34" s="35">
        <f t="shared" si="0"/>
        <v>44466</v>
      </c>
      <c r="C34" s="30"/>
      <c r="D34" s="42"/>
      <c r="E34" s="78"/>
      <c r="F34" s="78"/>
      <c r="G34" s="68" t="str">
        <f t="shared" si="1"/>
        <v/>
      </c>
      <c r="H34" s="69" t="str">
        <f t="shared" si="2"/>
        <v/>
      </c>
      <c r="I34" s="41" t="str">
        <f t="shared" si="3"/>
        <v/>
      </c>
    </row>
    <row r="35" spans="1:9" ht="22.5" customHeight="1" x14ac:dyDescent="0.2">
      <c r="A35" s="31">
        <f t="shared" si="4"/>
        <v>44467</v>
      </c>
      <c r="B35" s="35">
        <f t="shared" si="0"/>
        <v>44467</v>
      </c>
      <c r="C35" s="30"/>
      <c r="D35" s="42"/>
      <c r="E35" s="78"/>
      <c r="F35" s="78"/>
      <c r="G35" s="68" t="str">
        <f t="shared" si="1"/>
        <v/>
      </c>
      <c r="H35" s="69" t="str">
        <f t="shared" si="2"/>
        <v/>
      </c>
      <c r="I35" s="41" t="str">
        <f t="shared" si="3"/>
        <v/>
      </c>
    </row>
    <row r="36" spans="1:9" ht="22.5" customHeight="1" x14ac:dyDescent="0.2">
      <c r="A36" s="31">
        <f t="shared" si="4"/>
        <v>44468</v>
      </c>
      <c r="B36" s="35">
        <f t="shared" si="0"/>
        <v>44468</v>
      </c>
      <c r="C36" s="30"/>
      <c r="D36" s="42"/>
      <c r="E36" s="78"/>
      <c r="F36" s="78"/>
      <c r="G36" s="68" t="str">
        <f t="shared" si="1"/>
        <v/>
      </c>
      <c r="H36" s="69" t="str">
        <f t="shared" si="2"/>
        <v/>
      </c>
      <c r="I36" s="41" t="str">
        <f t="shared" si="3"/>
        <v/>
      </c>
    </row>
    <row r="37" spans="1:9" ht="22.5" customHeight="1" x14ac:dyDescent="0.2">
      <c r="A37" s="31">
        <f t="shared" si="4"/>
        <v>44469</v>
      </c>
      <c r="B37" s="35">
        <f t="shared" si="0"/>
        <v>44469</v>
      </c>
      <c r="C37" s="30"/>
      <c r="D37" s="42"/>
      <c r="E37" s="78"/>
      <c r="F37" s="78"/>
      <c r="G37" s="68" t="str">
        <f t="shared" si="1"/>
        <v/>
      </c>
      <c r="H37" s="69" t="str">
        <f t="shared" si="2"/>
        <v/>
      </c>
      <c r="I37" s="41" t="str">
        <f t="shared" si="3"/>
        <v/>
      </c>
    </row>
    <row r="38" spans="1:9" ht="22.5" customHeight="1" thickBot="1" x14ac:dyDescent="0.25">
      <c r="A38" s="36">
        <f t="shared" si="4"/>
        <v>44470</v>
      </c>
      <c r="B38" s="37">
        <f t="shared" si="0"/>
        <v>44470</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20" priority="1" stopIfTrue="1">
      <formula>WEEKDAY($A8)=1</formula>
    </cfRule>
    <cfRule type="expression" dxfId="19" priority="2" stopIfTrue="1">
      <formula>WEEKDAY($A8)=7</formula>
    </cfRule>
    <cfRule type="expression" dxfId="18" priority="3" stopIfTrue="1">
      <formula>国民の祝日($A8,0)</formula>
    </cfRule>
  </conditionalFormatting>
  <dataValidations count="1">
    <dataValidation type="list" showInputMessage="1" sqref="D8:D38" xr:uid="{00000000-0002-0000-09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R41"/>
  <sheetViews>
    <sheetView view="pageBreakPreview" zoomScale="85" zoomScaleNormal="100" zoomScaleSheetLayoutView="85" workbookViewId="0">
      <selection activeCell="C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DATE(YEAR([0]!年度開始年月日),MONTH([0]!年度開始年月日)+6,DAY([0]!年度開始年月日))</f>
        <v>44470</v>
      </c>
      <c r="B1" s="99"/>
      <c r="C1" s="99"/>
      <c r="D1" s="43" t="s">
        <v>0</v>
      </c>
      <c r="F1" s="43"/>
      <c r="G1" s="43"/>
      <c r="H1" s="45" t="s">
        <v>61</v>
      </c>
      <c r="I1" s="46"/>
    </row>
    <row r="2" spans="1:18" ht="15" customHeight="1" x14ac:dyDescent="0.2">
      <c r="A2" s="47"/>
      <c r="B2" s="47" t="s">
        <v>8</v>
      </c>
      <c r="C2" s="48">
        <f>A1</f>
        <v>44470</v>
      </c>
      <c r="D2" s="49"/>
      <c r="F2" s="50"/>
      <c r="G2" s="50"/>
      <c r="H2" s="50"/>
      <c r="I2" s="46"/>
    </row>
    <row r="3" spans="1:18" ht="15" customHeight="1" x14ac:dyDescent="0.2">
      <c r="A3" s="47"/>
      <c r="B3" s="47" t="s">
        <v>7</v>
      </c>
      <c r="C3" s="48">
        <f>DATE(YEAR(C2),MONTH(C2)+1,1)-1</f>
        <v>44500</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44500</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44470</v>
      </c>
      <c r="B8" s="39">
        <f t="shared" ref="B8:B38" si="0">A8</f>
        <v>44470</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44471</v>
      </c>
      <c r="B9" s="35">
        <f t="shared" si="0"/>
        <v>44471</v>
      </c>
      <c r="C9" s="30"/>
      <c r="D9" s="42"/>
      <c r="E9" s="78"/>
      <c r="F9" s="78"/>
      <c r="G9" s="68" t="str">
        <f t="shared" si="1"/>
        <v/>
      </c>
      <c r="H9" s="69" t="str">
        <f t="shared" si="2"/>
        <v/>
      </c>
      <c r="I9" s="41" t="str">
        <f t="shared" si="3"/>
        <v/>
      </c>
      <c r="Q9" s="65"/>
      <c r="R9" s="47"/>
    </row>
    <row r="10" spans="1:18" ht="22.5" customHeight="1" x14ac:dyDescent="0.2">
      <c r="A10" s="31">
        <f t="shared" si="4"/>
        <v>44472</v>
      </c>
      <c r="B10" s="35">
        <f t="shared" si="0"/>
        <v>44472</v>
      </c>
      <c r="C10" s="30"/>
      <c r="D10" s="42"/>
      <c r="E10" s="78"/>
      <c r="F10" s="78"/>
      <c r="G10" s="68" t="str">
        <f t="shared" si="1"/>
        <v/>
      </c>
      <c r="H10" s="69" t="str">
        <f t="shared" si="2"/>
        <v/>
      </c>
      <c r="I10" s="41" t="str">
        <f t="shared" si="3"/>
        <v/>
      </c>
      <c r="Q10" s="65"/>
      <c r="R10" s="47"/>
    </row>
    <row r="11" spans="1:18" ht="22.5" customHeight="1" x14ac:dyDescent="0.2">
      <c r="A11" s="31">
        <f t="shared" si="4"/>
        <v>44473</v>
      </c>
      <c r="B11" s="35">
        <f t="shared" si="0"/>
        <v>44473</v>
      </c>
      <c r="C11" s="30"/>
      <c r="D11" s="42"/>
      <c r="E11" s="78"/>
      <c r="F11" s="78"/>
      <c r="G11" s="68" t="str">
        <f t="shared" si="1"/>
        <v/>
      </c>
      <c r="H11" s="69" t="str">
        <f t="shared" si="2"/>
        <v/>
      </c>
      <c r="I11" s="41" t="str">
        <f t="shared" si="3"/>
        <v/>
      </c>
      <c r="Q11" s="65"/>
      <c r="R11" s="47"/>
    </row>
    <row r="12" spans="1:18" ht="22.5" customHeight="1" x14ac:dyDescent="0.2">
      <c r="A12" s="31">
        <f t="shared" si="4"/>
        <v>44474</v>
      </c>
      <c r="B12" s="35">
        <f t="shared" si="0"/>
        <v>44474</v>
      </c>
      <c r="C12" s="30"/>
      <c r="D12" s="42"/>
      <c r="E12" s="78"/>
      <c r="F12" s="78"/>
      <c r="G12" s="68" t="str">
        <f t="shared" si="1"/>
        <v/>
      </c>
      <c r="H12" s="69" t="str">
        <f t="shared" si="2"/>
        <v/>
      </c>
      <c r="I12" s="41" t="str">
        <f t="shared" si="3"/>
        <v/>
      </c>
      <c r="Q12" s="65"/>
      <c r="R12" s="47"/>
    </row>
    <row r="13" spans="1:18" ht="22.5" customHeight="1" x14ac:dyDescent="0.2">
      <c r="A13" s="31">
        <f t="shared" si="4"/>
        <v>44475</v>
      </c>
      <c r="B13" s="35">
        <f t="shared" si="0"/>
        <v>44475</v>
      </c>
      <c r="C13" s="30"/>
      <c r="D13" s="42"/>
      <c r="E13" s="78"/>
      <c r="F13" s="78"/>
      <c r="G13" s="68" t="str">
        <f t="shared" si="1"/>
        <v/>
      </c>
      <c r="H13" s="69" t="str">
        <f t="shared" si="2"/>
        <v/>
      </c>
      <c r="I13" s="41" t="str">
        <f t="shared" si="3"/>
        <v/>
      </c>
      <c r="Q13" s="65"/>
      <c r="R13" s="47"/>
    </row>
    <row r="14" spans="1:18" ht="22.5" customHeight="1" x14ac:dyDescent="0.2">
      <c r="A14" s="31">
        <f t="shared" si="4"/>
        <v>44476</v>
      </c>
      <c r="B14" s="35">
        <f t="shared" si="0"/>
        <v>44476</v>
      </c>
      <c r="C14" s="30"/>
      <c r="D14" s="42"/>
      <c r="E14" s="78"/>
      <c r="F14" s="78"/>
      <c r="G14" s="68" t="str">
        <f t="shared" si="1"/>
        <v/>
      </c>
      <c r="H14" s="69" t="str">
        <f t="shared" si="2"/>
        <v/>
      </c>
      <c r="I14" s="41" t="str">
        <f t="shared" si="3"/>
        <v/>
      </c>
      <c r="Q14" s="65"/>
      <c r="R14" s="47"/>
    </row>
    <row r="15" spans="1:18" ht="22.5" customHeight="1" x14ac:dyDescent="0.2">
      <c r="A15" s="31">
        <f t="shared" si="4"/>
        <v>44477</v>
      </c>
      <c r="B15" s="35">
        <f t="shared" si="0"/>
        <v>44477</v>
      </c>
      <c r="C15" s="30"/>
      <c r="D15" s="42"/>
      <c r="E15" s="78"/>
      <c r="F15" s="78"/>
      <c r="G15" s="68" t="str">
        <f t="shared" si="1"/>
        <v/>
      </c>
      <c r="H15" s="69" t="str">
        <f t="shared" si="2"/>
        <v/>
      </c>
      <c r="I15" s="41" t="str">
        <f t="shared" si="3"/>
        <v/>
      </c>
      <c r="Q15" s="65"/>
      <c r="R15" s="47"/>
    </row>
    <row r="16" spans="1:18" ht="22.5" customHeight="1" x14ac:dyDescent="0.2">
      <c r="A16" s="31">
        <f t="shared" si="4"/>
        <v>44478</v>
      </c>
      <c r="B16" s="35">
        <f t="shared" si="0"/>
        <v>44478</v>
      </c>
      <c r="C16" s="30"/>
      <c r="D16" s="42"/>
      <c r="E16" s="78"/>
      <c r="F16" s="78"/>
      <c r="G16" s="68" t="str">
        <f t="shared" si="1"/>
        <v/>
      </c>
      <c r="H16" s="69" t="str">
        <f t="shared" si="2"/>
        <v/>
      </c>
      <c r="I16" s="41" t="str">
        <f t="shared" si="3"/>
        <v/>
      </c>
      <c r="Q16" s="65"/>
      <c r="R16" s="47"/>
    </row>
    <row r="17" spans="1:18" ht="22.5" customHeight="1" x14ac:dyDescent="0.2">
      <c r="A17" s="31">
        <f t="shared" si="4"/>
        <v>44479</v>
      </c>
      <c r="B17" s="35">
        <f t="shared" si="0"/>
        <v>44479</v>
      </c>
      <c r="C17" s="30"/>
      <c r="D17" s="42"/>
      <c r="E17" s="78"/>
      <c r="F17" s="78"/>
      <c r="G17" s="68" t="str">
        <f t="shared" si="1"/>
        <v/>
      </c>
      <c r="H17" s="69" t="str">
        <f t="shared" si="2"/>
        <v/>
      </c>
      <c r="I17" s="41" t="str">
        <f t="shared" si="3"/>
        <v/>
      </c>
      <c r="Q17" s="65"/>
      <c r="R17" s="47"/>
    </row>
    <row r="18" spans="1:18" ht="22.5" customHeight="1" x14ac:dyDescent="0.2">
      <c r="A18" s="31">
        <f t="shared" si="4"/>
        <v>44480</v>
      </c>
      <c r="B18" s="35">
        <f t="shared" si="0"/>
        <v>44480</v>
      </c>
      <c r="C18" s="30"/>
      <c r="D18" s="42"/>
      <c r="E18" s="78"/>
      <c r="F18" s="78"/>
      <c r="G18" s="68" t="str">
        <f t="shared" si="1"/>
        <v/>
      </c>
      <c r="H18" s="69" t="str">
        <f t="shared" si="2"/>
        <v/>
      </c>
      <c r="I18" s="41" t="str">
        <f t="shared" si="3"/>
        <v/>
      </c>
      <c r="Q18" s="65"/>
      <c r="R18" s="47"/>
    </row>
    <row r="19" spans="1:18" ht="22.5" customHeight="1" x14ac:dyDescent="0.2">
      <c r="A19" s="31">
        <f t="shared" si="4"/>
        <v>44481</v>
      </c>
      <c r="B19" s="35">
        <f t="shared" si="0"/>
        <v>44481</v>
      </c>
      <c r="C19" s="30"/>
      <c r="D19" s="42"/>
      <c r="E19" s="78"/>
      <c r="F19" s="78"/>
      <c r="G19" s="68" t="str">
        <f t="shared" si="1"/>
        <v/>
      </c>
      <c r="H19" s="69" t="str">
        <f t="shared" si="2"/>
        <v/>
      </c>
      <c r="I19" s="41" t="str">
        <f t="shared" si="3"/>
        <v/>
      </c>
      <c r="Q19" s="65"/>
      <c r="R19" s="47"/>
    </row>
    <row r="20" spans="1:18" ht="22.5" customHeight="1" x14ac:dyDescent="0.2">
      <c r="A20" s="31">
        <f t="shared" si="4"/>
        <v>44482</v>
      </c>
      <c r="B20" s="35">
        <f t="shared" si="0"/>
        <v>44482</v>
      </c>
      <c r="C20" s="30"/>
      <c r="D20" s="42"/>
      <c r="E20" s="78"/>
      <c r="F20" s="78"/>
      <c r="G20" s="68" t="str">
        <f t="shared" si="1"/>
        <v/>
      </c>
      <c r="H20" s="69" t="str">
        <f t="shared" si="2"/>
        <v/>
      </c>
      <c r="I20" s="41" t="str">
        <f t="shared" si="3"/>
        <v/>
      </c>
      <c r="Q20" s="65"/>
      <c r="R20" s="47"/>
    </row>
    <row r="21" spans="1:18" ht="22.5" customHeight="1" x14ac:dyDescent="0.2">
      <c r="A21" s="31">
        <f t="shared" si="4"/>
        <v>44483</v>
      </c>
      <c r="B21" s="35">
        <f t="shared" si="0"/>
        <v>44483</v>
      </c>
      <c r="C21" s="30"/>
      <c r="D21" s="42"/>
      <c r="E21" s="78"/>
      <c r="F21" s="78"/>
      <c r="G21" s="68" t="str">
        <f t="shared" si="1"/>
        <v/>
      </c>
      <c r="H21" s="69" t="str">
        <f t="shared" si="2"/>
        <v/>
      </c>
      <c r="I21" s="41" t="str">
        <f t="shared" si="3"/>
        <v/>
      </c>
      <c r="Q21" s="65"/>
      <c r="R21" s="47"/>
    </row>
    <row r="22" spans="1:18" ht="22.5" customHeight="1" x14ac:dyDescent="0.2">
      <c r="A22" s="31">
        <f t="shared" si="4"/>
        <v>44484</v>
      </c>
      <c r="B22" s="35">
        <f t="shared" si="0"/>
        <v>44484</v>
      </c>
      <c r="C22" s="30"/>
      <c r="D22" s="42"/>
      <c r="E22" s="78"/>
      <c r="F22" s="78"/>
      <c r="G22" s="68" t="str">
        <f t="shared" si="1"/>
        <v/>
      </c>
      <c r="H22" s="69" t="str">
        <f t="shared" si="2"/>
        <v/>
      </c>
      <c r="I22" s="41" t="str">
        <f t="shared" si="3"/>
        <v/>
      </c>
      <c r="Q22" s="65"/>
      <c r="R22" s="47"/>
    </row>
    <row r="23" spans="1:18" ht="22.5" customHeight="1" x14ac:dyDescent="0.2">
      <c r="A23" s="31">
        <f t="shared" si="4"/>
        <v>44485</v>
      </c>
      <c r="B23" s="35">
        <f t="shared" si="0"/>
        <v>44485</v>
      </c>
      <c r="C23" s="30"/>
      <c r="D23" s="42"/>
      <c r="E23" s="78"/>
      <c r="F23" s="78"/>
      <c r="G23" s="68" t="str">
        <f t="shared" si="1"/>
        <v/>
      </c>
      <c r="H23" s="69" t="str">
        <f t="shared" si="2"/>
        <v/>
      </c>
      <c r="I23" s="41" t="str">
        <f t="shared" si="3"/>
        <v/>
      </c>
      <c r="Q23" s="65"/>
      <c r="R23" s="47"/>
    </row>
    <row r="24" spans="1:18" ht="22.5" customHeight="1" x14ac:dyDescent="0.2">
      <c r="A24" s="31">
        <f t="shared" si="4"/>
        <v>44486</v>
      </c>
      <c r="B24" s="35">
        <f t="shared" si="0"/>
        <v>44486</v>
      </c>
      <c r="C24" s="30"/>
      <c r="D24" s="42"/>
      <c r="E24" s="78"/>
      <c r="F24" s="78"/>
      <c r="G24" s="68" t="str">
        <f t="shared" si="1"/>
        <v/>
      </c>
      <c r="H24" s="69" t="str">
        <f t="shared" si="2"/>
        <v/>
      </c>
      <c r="I24" s="41" t="str">
        <f t="shared" si="3"/>
        <v/>
      </c>
      <c r="Q24" s="65"/>
      <c r="R24" s="47"/>
    </row>
    <row r="25" spans="1:18" ht="22.5" customHeight="1" x14ac:dyDescent="0.2">
      <c r="A25" s="31">
        <f t="shared" si="4"/>
        <v>44487</v>
      </c>
      <c r="B25" s="35">
        <f t="shared" si="0"/>
        <v>44487</v>
      </c>
      <c r="C25" s="30"/>
      <c r="D25" s="42"/>
      <c r="E25" s="78"/>
      <c r="F25" s="78"/>
      <c r="G25" s="68" t="str">
        <f t="shared" si="1"/>
        <v/>
      </c>
      <c r="H25" s="69" t="str">
        <f t="shared" si="2"/>
        <v/>
      </c>
      <c r="I25" s="41" t="str">
        <f t="shared" si="3"/>
        <v/>
      </c>
      <c r="Q25" s="65"/>
      <c r="R25" s="47"/>
    </row>
    <row r="26" spans="1:18" ht="22.5" customHeight="1" x14ac:dyDescent="0.2">
      <c r="A26" s="31">
        <f t="shared" si="4"/>
        <v>44488</v>
      </c>
      <c r="B26" s="35">
        <f t="shared" si="0"/>
        <v>44488</v>
      </c>
      <c r="C26" s="30"/>
      <c r="D26" s="42"/>
      <c r="E26" s="78"/>
      <c r="F26" s="78"/>
      <c r="G26" s="68" t="str">
        <f t="shared" si="1"/>
        <v/>
      </c>
      <c r="H26" s="69" t="str">
        <f t="shared" si="2"/>
        <v/>
      </c>
      <c r="I26" s="41" t="str">
        <f t="shared" si="3"/>
        <v/>
      </c>
      <c r="Q26" s="65"/>
      <c r="R26" s="47"/>
    </row>
    <row r="27" spans="1:18" ht="22.5" customHeight="1" x14ac:dyDescent="0.2">
      <c r="A27" s="31">
        <f t="shared" si="4"/>
        <v>44489</v>
      </c>
      <c r="B27" s="35">
        <f t="shared" si="0"/>
        <v>44489</v>
      </c>
      <c r="C27" s="30"/>
      <c r="D27" s="42"/>
      <c r="E27" s="78"/>
      <c r="F27" s="78"/>
      <c r="G27" s="68" t="str">
        <f t="shared" si="1"/>
        <v/>
      </c>
      <c r="H27" s="69" t="str">
        <f t="shared" si="2"/>
        <v/>
      </c>
      <c r="I27" s="41" t="str">
        <f t="shared" si="3"/>
        <v/>
      </c>
      <c r="Q27" s="65"/>
      <c r="R27" s="47"/>
    </row>
    <row r="28" spans="1:18" ht="22.5" customHeight="1" x14ac:dyDescent="0.2">
      <c r="A28" s="31">
        <f t="shared" si="4"/>
        <v>44490</v>
      </c>
      <c r="B28" s="35">
        <f t="shared" si="0"/>
        <v>44490</v>
      </c>
      <c r="C28" s="30"/>
      <c r="D28" s="42"/>
      <c r="E28" s="78"/>
      <c r="F28" s="78"/>
      <c r="G28" s="68" t="str">
        <f t="shared" si="1"/>
        <v/>
      </c>
      <c r="H28" s="69" t="str">
        <f t="shared" si="2"/>
        <v/>
      </c>
      <c r="I28" s="41" t="str">
        <f t="shared" si="3"/>
        <v/>
      </c>
      <c r="Q28" s="65"/>
      <c r="R28" s="47"/>
    </row>
    <row r="29" spans="1:18" ht="22.5" customHeight="1" x14ac:dyDescent="0.2">
      <c r="A29" s="31">
        <f t="shared" si="4"/>
        <v>44491</v>
      </c>
      <c r="B29" s="35">
        <f t="shared" si="0"/>
        <v>44491</v>
      </c>
      <c r="C29" s="30"/>
      <c r="D29" s="42"/>
      <c r="E29" s="78"/>
      <c r="F29" s="78"/>
      <c r="G29" s="68" t="str">
        <f t="shared" si="1"/>
        <v/>
      </c>
      <c r="H29" s="69" t="str">
        <f t="shared" si="2"/>
        <v/>
      </c>
      <c r="I29" s="41" t="str">
        <f t="shared" si="3"/>
        <v/>
      </c>
    </row>
    <row r="30" spans="1:18" ht="22.5" customHeight="1" x14ac:dyDescent="0.2">
      <c r="A30" s="31">
        <f t="shared" si="4"/>
        <v>44492</v>
      </c>
      <c r="B30" s="35">
        <f t="shared" si="0"/>
        <v>44492</v>
      </c>
      <c r="C30" s="30"/>
      <c r="D30" s="42"/>
      <c r="E30" s="78"/>
      <c r="F30" s="78"/>
      <c r="G30" s="68" t="str">
        <f t="shared" si="1"/>
        <v/>
      </c>
      <c r="H30" s="69" t="str">
        <f t="shared" si="2"/>
        <v/>
      </c>
      <c r="I30" s="41" t="str">
        <f t="shared" si="3"/>
        <v/>
      </c>
    </row>
    <row r="31" spans="1:18" ht="22.5" customHeight="1" x14ac:dyDescent="0.2">
      <c r="A31" s="31">
        <f t="shared" si="4"/>
        <v>44493</v>
      </c>
      <c r="B31" s="35">
        <f t="shared" si="0"/>
        <v>44493</v>
      </c>
      <c r="C31" s="30"/>
      <c r="D31" s="42"/>
      <c r="E31" s="78"/>
      <c r="F31" s="78"/>
      <c r="G31" s="68" t="str">
        <f t="shared" si="1"/>
        <v/>
      </c>
      <c r="H31" s="69" t="str">
        <f t="shared" si="2"/>
        <v/>
      </c>
      <c r="I31" s="41" t="str">
        <f t="shared" si="3"/>
        <v/>
      </c>
    </row>
    <row r="32" spans="1:18" ht="22.5" customHeight="1" x14ac:dyDescent="0.2">
      <c r="A32" s="31">
        <f t="shared" si="4"/>
        <v>44494</v>
      </c>
      <c r="B32" s="35">
        <f t="shared" si="0"/>
        <v>44494</v>
      </c>
      <c r="C32" s="30"/>
      <c r="D32" s="42"/>
      <c r="E32" s="78"/>
      <c r="F32" s="78"/>
      <c r="G32" s="68" t="str">
        <f t="shared" si="1"/>
        <v/>
      </c>
      <c r="H32" s="69" t="str">
        <f t="shared" si="2"/>
        <v/>
      </c>
      <c r="I32" s="41" t="str">
        <f t="shared" si="3"/>
        <v/>
      </c>
    </row>
    <row r="33" spans="1:9" ht="22.5" customHeight="1" x14ac:dyDescent="0.2">
      <c r="A33" s="31">
        <f t="shared" si="4"/>
        <v>44495</v>
      </c>
      <c r="B33" s="35">
        <f t="shared" si="0"/>
        <v>44495</v>
      </c>
      <c r="C33" s="30"/>
      <c r="D33" s="42"/>
      <c r="E33" s="78"/>
      <c r="F33" s="78"/>
      <c r="G33" s="68" t="str">
        <f t="shared" si="1"/>
        <v/>
      </c>
      <c r="H33" s="69" t="str">
        <f t="shared" si="2"/>
        <v/>
      </c>
      <c r="I33" s="41" t="str">
        <f t="shared" si="3"/>
        <v/>
      </c>
    </row>
    <row r="34" spans="1:9" ht="22.5" customHeight="1" x14ac:dyDescent="0.2">
      <c r="A34" s="31">
        <f t="shared" si="4"/>
        <v>44496</v>
      </c>
      <c r="B34" s="35">
        <f t="shared" si="0"/>
        <v>44496</v>
      </c>
      <c r="C34" s="30"/>
      <c r="D34" s="42"/>
      <c r="E34" s="78"/>
      <c r="F34" s="78"/>
      <c r="G34" s="68" t="str">
        <f t="shared" si="1"/>
        <v/>
      </c>
      <c r="H34" s="69" t="str">
        <f t="shared" si="2"/>
        <v/>
      </c>
      <c r="I34" s="41" t="str">
        <f t="shared" si="3"/>
        <v/>
      </c>
    </row>
    <row r="35" spans="1:9" ht="22.5" customHeight="1" x14ac:dyDescent="0.2">
      <c r="A35" s="31">
        <f t="shared" si="4"/>
        <v>44497</v>
      </c>
      <c r="B35" s="35">
        <f t="shared" si="0"/>
        <v>44497</v>
      </c>
      <c r="C35" s="30"/>
      <c r="D35" s="42"/>
      <c r="E35" s="78"/>
      <c r="F35" s="78"/>
      <c r="G35" s="68" t="str">
        <f t="shared" si="1"/>
        <v/>
      </c>
      <c r="H35" s="69" t="str">
        <f t="shared" si="2"/>
        <v/>
      </c>
      <c r="I35" s="41" t="str">
        <f t="shared" si="3"/>
        <v/>
      </c>
    </row>
    <row r="36" spans="1:9" ht="22.5" customHeight="1" x14ac:dyDescent="0.2">
      <c r="A36" s="31">
        <f t="shared" si="4"/>
        <v>44498</v>
      </c>
      <c r="B36" s="35">
        <f t="shared" si="0"/>
        <v>44498</v>
      </c>
      <c r="C36" s="30"/>
      <c r="D36" s="42"/>
      <c r="E36" s="78"/>
      <c r="F36" s="78"/>
      <c r="G36" s="68" t="str">
        <f t="shared" si="1"/>
        <v/>
      </c>
      <c r="H36" s="69" t="str">
        <f t="shared" si="2"/>
        <v/>
      </c>
      <c r="I36" s="41" t="str">
        <f t="shared" si="3"/>
        <v/>
      </c>
    </row>
    <row r="37" spans="1:9" ht="22.5" customHeight="1" x14ac:dyDescent="0.2">
      <c r="A37" s="31">
        <f t="shared" si="4"/>
        <v>44499</v>
      </c>
      <c r="B37" s="35">
        <f t="shared" si="0"/>
        <v>44499</v>
      </c>
      <c r="C37" s="30"/>
      <c r="D37" s="42"/>
      <c r="E37" s="78"/>
      <c r="F37" s="78"/>
      <c r="G37" s="68" t="str">
        <f t="shared" si="1"/>
        <v/>
      </c>
      <c r="H37" s="69" t="str">
        <f t="shared" si="2"/>
        <v/>
      </c>
      <c r="I37" s="41" t="str">
        <f t="shared" si="3"/>
        <v/>
      </c>
    </row>
    <row r="38" spans="1:9" ht="22.5" customHeight="1" thickBot="1" x14ac:dyDescent="0.25">
      <c r="A38" s="36">
        <f t="shared" si="4"/>
        <v>44500</v>
      </c>
      <c r="B38" s="37">
        <f t="shared" si="0"/>
        <v>44500</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17" priority="1" stopIfTrue="1">
      <formula>WEEKDAY($A8)=1</formula>
    </cfRule>
    <cfRule type="expression" dxfId="16" priority="2" stopIfTrue="1">
      <formula>WEEKDAY($A8)=7</formula>
    </cfRule>
    <cfRule type="expression" dxfId="15" priority="3" stopIfTrue="1">
      <formula>国民の祝日($A8,0)</formula>
    </cfRule>
  </conditionalFormatting>
  <dataValidations count="1">
    <dataValidation type="list" showInputMessage="1" sqref="D8:D38" xr:uid="{00000000-0002-0000-0A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R41"/>
  <sheetViews>
    <sheetView view="pageBreakPreview" topLeftCell="A26" zoomScale="85" zoomScaleNormal="100" zoomScaleSheetLayoutView="85" workbookViewId="0">
      <selection activeCell="F3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DATE(YEAR([0]!年度開始年月日),MONTH([0]!年度開始年月日)+7,DAY([0]!年度開始年月日))</f>
        <v>44501</v>
      </c>
      <c r="B1" s="99"/>
      <c r="C1" s="99"/>
      <c r="D1" s="43" t="s">
        <v>0</v>
      </c>
      <c r="F1" s="43"/>
      <c r="G1" s="43"/>
      <c r="H1" s="45" t="s">
        <v>61</v>
      </c>
      <c r="I1" s="46"/>
    </row>
    <row r="2" spans="1:18" ht="15" customHeight="1" x14ac:dyDescent="0.2">
      <c r="A2" s="47"/>
      <c r="B2" s="47" t="s">
        <v>8</v>
      </c>
      <c r="C2" s="48">
        <f>A1</f>
        <v>44501</v>
      </c>
      <c r="D2" s="49"/>
      <c r="F2" s="50"/>
      <c r="G2" s="50"/>
      <c r="H2" s="50"/>
      <c r="I2" s="46"/>
    </row>
    <row r="3" spans="1:18" ht="15" customHeight="1" x14ac:dyDescent="0.2">
      <c r="A3" s="47"/>
      <c r="B3" s="47" t="s">
        <v>7</v>
      </c>
      <c r="C3" s="48">
        <f>DATE(YEAR(C2),MONTH(C2)+1,1)-1</f>
        <v>44530</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44530</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44501</v>
      </c>
      <c r="B8" s="39">
        <f t="shared" ref="B8:B38" si="0">A8</f>
        <v>44501</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44502</v>
      </c>
      <c r="B9" s="35">
        <f t="shared" si="0"/>
        <v>44502</v>
      </c>
      <c r="C9" s="30"/>
      <c r="D9" s="42"/>
      <c r="E9" s="78"/>
      <c r="F9" s="78"/>
      <c r="G9" s="68" t="str">
        <f t="shared" si="1"/>
        <v/>
      </c>
      <c r="H9" s="69" t="str">
        <f t="shared" si="2"/>
        <v/>
      </c>
      <c r="I9" s="41" t="str">
        <f t="shared" si="3"/>
        <v/>
      </c>
      <c r="Q9" s="65"/>
      <c r="R9" s="47"/>
    </row>
    <row r="10" spans="1:18" ht="22.5" customHeight="1" x14ac:dyDescent="0.2">
      <c r="A10" s="31">
        <f t="shared" si="4"/>
        <v>44503</v>
      </c>
      <c r="B10" s="35">
        <f t="shared" si="0"/>
        <v>44503</v>
      </c>
      <c r="C10" s="30"/>
      <c r="D10" s="42"/>
      <c r="E10" s="78"/>
      <c r="F10" s="78"/>
      <c r="G10" s="68" t="str">
        <f t="shared" si="1"/>
        <v/>
      </c>
      <c r="H10" s="69" t="str">
        <f t="shared" si="2"/>
        <v/>
      </c>
      <c r="I10" s="41" t="str">
        <f t="shared" si="3"/>
        <v/>
      </c>
      <c r="Q10" s="65"/>
      <c r="R10" s="47"/>
    </row>
    <row r="11" spans="1:18" ht="22.5" customHeight="1" x14ac:dyDescent="0.2">
      <c r="A11" s="31">
        <f t="shared" si="4"/>
        <v>44504</v>
      </c>
      <c r="B11" s="35">
        <f t="shared" si="0"/>
        <v>44504</v>
      </c>
      <c r="C11" s="30"/>
      <c r="D11" s="42"/>
      <c r="E11" s="78"/>
      <c r="F11" s="78"/>
      <c r="G11" s="68" t="str">
        <f t="shared" si="1"/>
        <v/>
      </c>
      <c r="H11" s="69" t="str">
        <f t="shared" si="2"/>
        <v/>
      </c>
      <c r="I11" s="41" t="str">
        <f t="shared" si="3"/>
        <v/>
      </c>
      <c r="Q11" s="65"/>
      <c r="R11" s="47"/>
    </row>
    <row r="12" spans="1:18" ht="22.5" customHeight="1" x14ac:dyDescent="0.2">
      <c r="A12" s="31">
        <f t="shared" si="4"/>
        <v>44505</v>
      </c>
      <c r="B12" s="35">
        <f t="shared" si="0"/>
        <v>44505</v>
      </c>
      <c r="C12" s="30"/>
      <c r="D12" s="42"/>
      <c r="E12" s="78"/>
      <c r="F12" s="78"/>
      <c r="G12" s="68" t="str">
        <f t="shared" si="1"/>
        <v/>
      </c>
      <c r="H12" s="69" t="str">
        <f t="shared" si="2"/>
        <v/>
      </c>
      <c r="I12" s="41" t="str">
        <f t="shared" si="3"/>
        <v/>
      </c>
      <c r="Q12" s="65"/>
      <c r="R12" s="47"/>
    </row>
    <row r="13" spans="1:18" ht="22.5" customHeight="1" x14ac:dyDescent="0.2">
      <c r="A13" s="31">
        <f t="shared" si="4"/>
        <v>44506</v>
      </c>
      <c r="B13" s="35">
        <f t="shared" si="0"/>
        <v>44506</v>
      </c>
      <c r="C13" s="30"/>
      <c r="D13" s="42"/>
      <c r="E13" s="78"/>
      <c r="F13" s="78"/>
      <c r="G13" s="68" t="str">
        <f t="shared" si="1"/>
        <v/>
      </c>
      <c r="H13" s="69" t="str">
        <f t="shared" si="2"/>
        <v/>
      </c>
      <c r="I13" s="41" t="str">
        <f t="shared" si="3"/>
        <v/>
      </c>
      <c r="Q13" s="65"/>
      <c r="R13" s="47"/>
    </row>
    <row r="14" spans="1:18" ht="22.5" customHeight="1" x14ac:dyDescent="0.2">
      <c r="A14" s="31">
        <f t="shared" si="4"/>
        <v>44507</v>
      </c>
      <c r="B14" s="35">
        <f t="shared" si="0"/>
        <v>44507</v>
      </c>
      <c r="C14" s="30"/>
      <c r="D14" s="42"/>
      <c r="E14" s="78"/>
      <c r="F14" s="78"/>
      <c r="G14" s="68" t="str">
        <f t="shared" si="1"/>
        <v/>
      </c>
      <c r="H14" s="69" t="str">
        <f t="shared" si="2"/>
        <v/>
      </c>
      <c r="I14" s="41" t="str">
        <f t="shared" si="3"/>
        <v/>
      </c>
      <c r="Q14" s="65"/>
      <c r="R14" s="47"/>
    </row>
    <row r="15" spans="1:18" ht="22.5" customHeight="1" x14ac:dyDescent="0.2">
      <c r="A15" s="31">
        <f t="shared" si="4"/>
        <v>44508</v>
      </c>
      <c r="B15" s="35">
        <f t="shared" si="0"/>
        <v>44508</v>
      </c>
      <c r="C15" s="30"/>
      <c r="D15" s="42"/>
      <c r="E15" s="78"/>
      <c r="F15" s="78"/>
      <c r="G15" s="68" t="str">
        <f t="shared" si="1"/>
        <v/>
      </c>
      <c r="H15" s="69" t="str">
        <f t="shared" si="2"/>
        <v/>
      </c>
      <c r="I15" s="41" t="str">
        <f t="shared" si="3"/>
        <v/>
      </c>
      <c r="Q15" s="65"/>
      <c r="R15" s="47"/>
    </row>
    <row r="16" spans="1:18" ht="22.5" customHeight="1" x14ac:dyDescent="0.2">
      <c r="A16" s="31">
        <f t="shared" si="4"/>
        <v>44509</v>
      </c>
      <c r="B16" s="35">
        <f t="shared" si="0"/>
        <v>44509</v>
      </c>
      <c r="C16" s="30"/>
      <c r="D16" s="42"/>
      <c r="E16" s="78"/>
      <c r="F16" s="78"/>
      <c r="G16" s="68" t="str">
        <f t="shared" si="1"/>
        <v/>
      </c>
      <c r="H16" s="69" t="str">
        <f t="shared" si="2"/>
        <v/>
      </c>
      <c r="I16" s="41" t="str">
        <f t="shared" si="3"/>
        <v/>
      </c>
      <c r="Q16" s="65"/>
      <c r="R16" s="47"/>
    </row>
    <row r="17" spans="1:18" ht="22.5" customHeight="1" x14ac:dyDescent="0.2">
      <c r="A17" s="31">
        <f t="shared" si="4"/>
        <v>44510</v>
      </c>
      <c r="B17" s="35">
        <f t="shared" si="0"/>
        <v>44510</v>
      </c>
      <c r="C17" s="30"/>
      <c r="D17" s="42"/>
      <c r="E17" s="78"/>
      <c r="F17" s="78"/>
      <c r="G17" s="68" t="str">
        <f t="shared" si="1"/>
        <v/>
      </c>
      <c r="H17" s="69" t="str">
        <f t="shared" si="2"/>
        <v/>
      </c>
      <c r="I17" s="41" t="str">
        <f t="shared" si="3"/>
        <v/>
      </c>
      <c r="Q17" s="65"/>
      <c r="R17" s="47"/>
    </row>
    <row r="18" spans="1:18" ht="22.5" customHeight="1" x14ac:dyDescent="0.2">
      <c r="A18" s="31">
        <f t="shared" si="4"/>
        <v>44511</v>
      </c>
      <c r="B18" s="35">
        <f t="shared" si="0"/>
        <v>44511</v>
      </c>
      <c r="C18" s="30"/>
      <c r="D18" s="42"/>
      <c r="E18" s="78"/>
      <c r="F18" s="78"/>
      <c r="G18" s="68" t="str">
        <f t="shared" si="1"/>
        <v/>
      </c>
      <c r="H18" s="69" t="str">
        <f t="shared" si="2"/>
        <v/>
      </c>
      <c r="I18" s="41" t="str">
        <f t="shared" si="3"/>
        <v/>
      </c>
      <c r="Q18" s="65"/>
      <c r="R18" s="47"/>
    </row>
    <row r="19" spans="1:18" ht="22.5" customHeight="1" x14ac:dyDescent="0.2">
      <c r="A19" s="31">
        <f t="shared" si="4"/>
        <v>44512</v>
      </c>
      <c r="B19" s="35">
        <f t="shared" si="0"/>
        <v>44512</v>
      </c>
      <c r="C19" s="30"/>
      <c r="D19" s="42"/>
      <c r="E19" s="78"/>
      <c r="F19" s="78"/>
      <c r="G19" s="68" t="str">
        <f t="shared" si="1"/>
        <v/>
      </c>
      <c r="H19" s="69" t="str">
        <f t="shared" si="2"/>
        <v/>
      </c>
      <c r="I19" s="41" t="str">
        <f t="shared" si="3"/>
        <v/>
      </c>
      <c r="Q19" s="65"/>
      <c r="R19" s="47"/>
    </row>
    <row r="20" spans="1:18" ht="22.5" customHeight="1" x14ac:dyDescent="0.2">
      <c r="A20" s="31">
        <f t="shared" si="4"/>
        <v>44513</v>
      </c>
      <c r="B20" s="35">
        <f t="shared" si="0"/>
        <v>44513</v>
      </c>
      <c r="C20" s="30"/>
      <c r="D20" s="42"/>
      <c r="E20" s="78"/>
      <c r="F20" s="78"/>
      <c r="G20" s="68" t="str">
        <f t="shared" si="1"/>
        <v/>
      </c>
      <c r="H20" s="69" t="str">
        <f t="shared" si="2"/>
        <v/>
      </c>
      <c r="I20" s="41" t="str">
        <f t="shared" si="3"/>
        <v/>
      </c>
      <c r="Q20" s="65"/>
      <c r="R20" s="47"/>
    </row>
    <row r="21" spans="1:18" ht="22.5" customHeight="1" x14ac:dyDescent="0.2">
      <c r="A21" s="31">
        <f t="shared" si="4"/>
        <v>44514</v>
      </c>
      <c r="B21" s="35">
        <f t="shared" si="0"/>
        <v>44514</v>
      </c>
      <c r="C21" s="30"/>
      <c r="D21" s="42"/>
      <c r="E21" s="78"/>
      <c r="F21" s="78"/>
      <c r="G21" s="68" t="str">
        <f t="shared" si="1"/>
        <v/>
      </c>
      <c r="H21" s="69" t="str">
        <f t="shared" si="2"/>
        <v/>
      </c>
      <c r="I21" s="41" t="str">
        <f t="shared" si="3"/>
        <v/>
      </c>
      <c r="Q21" s="65"/>
      <c r="R21" s="47"/>
    </row>
    <row r="22" spans="1:18" ht="22.5" customHeight="1" x14ac:dyDescent="0.2">
      <c r="A22" s="31">
        <f t="shared" si="4"/>
        <v>44515</v>
      </c>
      <c r="B22" s="35">
        <f t="shared" si="0"/>
        <v>44515</v>
      </c>
      <c r="C22" s="30"/>
      <c r="D22" s="42"/>
      <c r="E22" s="78"/>
      <c r="F22" s="78"/>
      <c r="G22" s="68" t="str">
        <f t="shared" si="1"/>
        <v/>
      </c>
      <c r="H22" s="69" t="str">
        <f t="shared" si="2"/>
        <v/>
      </c>
      <c r="I22" s="41" t="str">
        <f t="shared" si="3"/>
        <v/>
      </c>
      <c r="Q22" s="65"/>
      <c r="R22" s="47"/>
    </row>
    <row r="23" spans="1:18" ht="22.5" customHeight="1" x14ac:dyDescent="0.2">
      <c r="A23" s="31">
        <f t="shared" si="4"/>
        <v>44516</v>
      </c>
      <c r="B23" s="35">
        <f t="shared" si="0"/>
        <v>44516</v>
      </c>
      <c r="C23" s="30"/>
      <c r="D23" s="42"/>
      <c r="E23" s="78"/>
      <c r="F23" s="78"/>
      <c r="G23" s="68" t="str">
        <f t="shared" si="1"/>
        <v/>
      </c>
      <c r="H23" s="69" t="str">
        <f t="shared" si="2"/>
        <v/>
      </c>
      <c r="I23" s="41" t="str">
        <f t="shared" si="3"/>
        <v/>
      </c>
      <c r="Q23" s="65"/>
      <c r="R23" s="47"/>
    </row>
    <row r="24" spans="1:18" ht="22.5" customHeight="1" x14ac:dyDescent="0.2">
      <c r="A24" s="31">
        <f t="shared" si="4"/>
        <v>44517</v>
      </c>
      <c r="B24" s="35">
        <f t="shared" si="0"/>
        <v>44517</v>
      </c>
      <c r="C24" s="30"/>
      <c r="D24" s="42"/>
      <c r="E24" s="78"/>
      <c r="F24" s="78"/>
      <c r="G24" s="68" t="str">
        <f t="shared" si="1"/>
        <v/>
      </c>
      <c r="H24" s="69" t="str">
        <f t="shared" si="2"/>
        <v/>
      </c>
      <c r="I24" s="41" t="str">
        <f t="shared" si="3"/>
        <v/>
      </c>
      <c r="Q24" s="65"/>
      <c r="R24" s="47"/>
    </row>
    <row r="25" spans="1:18" ht="22.5" customHeight="1" x14ac:dyDescent="0.2">
      <c r="A25" s="31">
        <f t="shared" si="4"/>
        <v>44518</v>
      </c>
      <c r="B25" s="35">
        <f t="shared" si="0"/>
        <v>44518</v>
      </c>
      <c r="C25" s="30"/>
      <c r="D25" s="42"/>
      <c r="E25" s="78"/>
      <c r="F25" s="78"/>
      <c r="G25" s="68" t="str">
        <f t="shared" si="1"/>
        <v/>
      </c>
      <c r="H25" s="69" t="str">
        <f t="shared" si="2"/>
        <v/>
      </c>
      <c r="I25" s="41" t="str">
        <f t="shared" si="3"/>
        <v/>
      </c>
      <c r="Q25" s="65"/>
      <c r="R25" s="47"/>
    </row>
    <row r="26" spans="1:18" ht="22.5" customHeight="1" x14ac:dyDescent="0.2">
      <c r="A26" s="31">
        <f t="shared" si="4"/>
        <v>44519</v>
      </c>
      <c r="B26" s="35">
        <f t="shared" si="0"/>
        <v>44519</v>
      </c>
      <c r="C26" s="30"/>
      <c r="D26" s="42"/>
      <c r="E26" s="78"/>
      <c r="F26" s="78"/>
      <c r="G26" s="68" t="str">
        <f t="shared" si="1"/>
        <v/>
      </c>
      <c r="H26" s="69" t="str">
        <f t="shared" si="2"/>
        <v/>
      </c>
      <c r="I26" s="41" t="str">
        <f t="shared" si="3"/>
        <v/>
      </c>
      <c r="Q26" s="65"/>
      <c r="R26" s="47"/>
    </row>
    <row r="27" spans="1:18" ht="22.5" customHeight="1" x14ac:dyDescent="0.2">
      <c r="A27" s="31">
        <f t="shared" si="4"/>
        <v>44520</v>
      </c>
      <c r="B27" s="35">
        <f t="shared" si="0"/>
        <v>44520</v>
      </c>
      <c r="C27" s="30"/>
      <c r="D27" s="42"/>
      <c r="E27" s="78"/>
      <c r="F27" s="78"/>
      <c r="G27" s="68" t="str">
        <f t="shared" si="1"/>
        <v/>
      </c>
      <c r="H27" s="69" t="str">
        <f t="shared" si="2"/>
        <v/>
      </c>
      <c r="I27" s="41" t="str">
        <f t="shared" si="3"/>
        <v/>
      </c>
      <c r="Q27" s="65"/>
      <c r="R27" s="47"/>
    </row>
    <row r="28" spans="1:18" ht="22.5" customHeight="1" x14ac:dyDescent="0.2">
      <c r="A28" s="31">
        <f t="shared" si="4"/>
        <v>44521</v>
      </c>
      <c r="B28" s="35">
        <f t="shared" si="0"/>
        <v>44521</v>
      </c>
      <c r="C28" s="30"/>
      <c r="D28" s="42"/>
      <c r="E28" s="78"/>
      <c r="F28" s="78"/>
      <c r="G28" s="68" t="str">
        <f t="shared" si="1"/>
        <v/>
      </c>
      <c r="H28" s="69" t="str">
        <f t="shared" si="2"/>
        <v/>
      </c>
      <c r="I28" s="41" t="str">
        <f t="shared" si="3"/>
        <v/>
      </c>
      <c r="Q28" s="65"/>
      <c r="R28" s="47"/>
    </row>
    <row r="29" spans="1:18" ht="22.5" customHeight="1" x14ac:dyDescent="0.2">
      <c r="A29" s="31">
        <f t="shared" si="4"/>
        <v>44522</v>
      </c>
      <c r="B29" s="35">
        <f t="shared" si="0"/>
        <v>44522</v>
      </c>
      <c r="C29" s="30"/>
      <c r="D29" s="42"/>
      <c r="E29" s="78"/>
      <c r="F29" s="78"/>
      <c r="G29" s="68" t="str">
        <f t="shared" si="1"/>
        <v/>
      </c>
      <c r="H29" s="69" t="str">
        <f t="shared" si="2"/>
        <v/>
      </c>
      <c r="I29" s="41" t="str">
        <f t="shared" si="3"/>
        <v/>
      </c>
    </row>
    <row r="30" spans="1:18" ht="22.5" customHeight="1" x14ac:dyDescent="0.2">
      <c r="A30" s="31">
        <f t="shared" si="4"/>
        <v>44523</v>
      </c>
      <c r="B30" s="35">
        <f t="shared" si="0"/>
        <v>44523</v>
      </c>
      <c r="C30" s="30"/>
      <c r="D30" s="42"/>
      <c r="E30" s="78"/>
      <c r="F30" s="78"/>
      <c r="G30" s="68" t="str">
        <f t="shared" si="1"/>
        <v/>
      </c>
      <c r="H30" s="69" t="str">
        <f t="shared" si="2"/>
        <v/>
      </c>
      <c r="I30" s="41" t="str">
        <f t="shared" si="3"/>
        <v/>
      </c>
    </row>
    <row r="31" spans="1:18" ht="22.5" customHeight="1" x14ac:dyDescent="0.2">
      <c r="A31" s="31">
        <f t="shared" si="4"/>
        <v>44524</v>
      </c>
      <c r="B31" s="35">
        <f t="shared" si="0"/>
        <v>44524</v>
      </c>
      <c r="C31" s="30"/>
      <c r="D31" s="42"/>
      <c r="E31" s="78"/>
      <c r="F31" s="78"/>
      <c r="G31" s="68" t="str">
        <f t="shared" si="1"/>
        <v/>
      </c>
      <c r="H31" s="69" t="str">
        <f t="shared" si="2"/>
        <v/>
      </c>
      <c r="I31" s="41" t="str">
        <f t="shared" si="3"/>
        <v/>
      </c>
    </row>
    <row r="32" spans="1:18" ht="22.5" customHeight="1" x14ac:dyDescent="0.2">
      <c r="A32" s="31">
        <f t="shared" si="4"/>
        <v>44525</v>
      </c>
      <c r="B32" s="35">
        <f t="shared" si="0"/>
        <v>44525</v>
      </c>
      <c r="C32" s="30"/>
      <c r="D32" s="42"/>
      <c r="E32" s="78"/>
      <c r="F32" s="78"/>
      <c r="G32" s="68" t="str">
        <f t="shared" si="1"/>
        <v/>
      </c>
      <c r="H32" s="69" t="str">
        <f t="shared" si="2"/>
        <v/>
      </c>
      <c r="I32" s="41" t="str">
        <f t="shared" si="3"/>
        <v/>
      </c>
    </row>
    <row r="33" spans="1:9" ht="22.5" customHeight="1" x14ac:dyDescent="0.2">
      <c r="A33" s="31">
        <f t="shared" si="4"/>
        <v>44526</v>
      </c>
      <c r="B33" s="35">
        <f t="shared" si="0"/>
        <v>44526</v>
      </c>
      <c r="C33" s="30"/>
      <c r="D33" s="42"/>
      <c r="E33" s="78"/>
      <c r="F33" s="78"/>
      <c r="G33" s="68" t="str">
        <f t="shared" si="1"/>
        <v/>
      </c>
      <c r="H33" s="69" t="str">
        <f t="shared" si="2"/>
        <v/>
      </c>
      <c r="I33" s="41" t="str">
        <f t="shared" si="3"/>
        <v/>
      </c>
    </row>
    <row r="34" spans="1:9" ht="22.5" customHeight="1" x14ac:dyDescent="0.2">
      <c r="A34" s="31">
        <f t="shared" si="4"/>
        <v>44527</v>
      </c>
      <c r="B34" s="35">
        <f t="shared" si="0"/>
        <v>44527</v>
      </c>
      <c r="C34" s="30"/>
      <c r="D34" s="42"/>
      <c r="E34" s="78"/>
      <c r="F34" s="78"/>
      <c r="G34" s="68" t="str">
        <f t="shared" si="1"/>
        <v/>
      </c>
      <c r="H34" s="69" t="str">
        <f t="shared" si="2"/>
        <v/>
      </c>
      <c r="I34" s="41" t="str">
        <f t="shared" si="3"/>
        <v/>
      </c>
    </row>
    <row r="35" spans="1:9" ht="22.5" customHeight="1" x14ac:dyDescent="0.2">
      <c r="A35" s="31">
        <f t="shared" si="4"/>
        <v>44528</v>
      </c>
      <c r="B35" s="35">
        <f t="shared" si="0"/>
        <v>44528</v>
      </c>
      <c r="C35" s="30"/>
      <c r="D35" s="42"/>
      <c r="E35" s="78"/>
      <c r="F35" s="78"/>
      <c r="G35" s="68" t="str">
        <f t="shared" si="1"/>
        <v/>
      </c>
      <c r="H35" s="69" t="str">
        <f t="shared" si="2"/>
        <v/>
      </c>
      <c r="I35" s="41" t="str">
        <f t="shared" si="3"/>
        <v/>
      </c>
    </row>
    <row r="36" spans="1:9" ht="22.5" customHeight="1" x14ac:dyDescent="0.2">
      <c r="A36" s="31">
        <f t="shared" si="4"/>
        <v>44529</v>
      </c>
      <c r="B36" s="35">
        <f t="shared" si="0"/>
        <v>44529</v>
      </c>
      <c r="C36" s="30"/>
      <c r="D36" s="42"/>
      <c r="E36" s="78"/>
      <c r="F36" s="78"/>
      <c r="G36" s="68" t="str">
        <f t="shared" si="1"/>
        <v/>
      </c>
      <c r="H36" s="69" t="str">
        <f t="shared" si="2"/>
        <v/>
      </c>
      <c r="I36" s="41" t="str">
        <f t="shared" si="3"/>
        <v/>
      </c>
    </row>
    <row r="37" spans="1:9" ht="22.5" customHeight="1" x14ac:dyDescent="0.2">
      <c r="A37" s="31">
        <f t="shared" si="4"/>
        <v>44530</v>
      </c>
      <c r="B37" s="35">
        <f t="shared" si="0"/>
        <v>44530</v>
      </c>
      <c r="C37" s="30"/>
      <c r="D37" s="42"/>
      <c r="E37" s="78"/>
      <c r="F37" s="78"/>
      <c r="G37" s="68" t="str">
        <f t="shared" si="1"/>
        <v/>
      </c>
      <c r="H37" s="69" t="str">
        <f t="shared" si="2"/>
        <v/>
      </c>
      <c r="I37" s="41" t="str">
        <f t="shared" si="3"/>
        <v/>
      </c>
    </row>
    <row r="38" spans="1:9" ht="22.5" customHeight="1" thickBot="1" x14ac:dyDescent="0.25">
      <c r="A38" s="36">
        <f t="shared" si="4"/>
        <v>44531</v>
      </c>
      <c r="B38" s="37">
        <f t="shared" si="0"/>
        <v>44531</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14" priority="1" stopIfTrue="1">
      <formula>WEEKDAY($A8)=1</formula>
    </cfRule>
    <cfRule type="expression" dxfId="13" priority="2" stopIfTrue="1">
      <formula>WEEKDAY($A8)=7</formula>
    </cfRule>
    <cfRule type="expression" dxfId="12" priority="3" stopIfTrue="1">
      <formula>国民の祝日($A8,0)</formula>
    </cfRule>
  </conditionalFormatting>
  <dataValidations count="1">
    <dataValidation type="list" showInputMessage="1" sqref="D8:D38" xr:uid="{00000000-0002-0000-0B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R41"/>
  <sheetViews>
    <sheetView view="pageBreakPreview" topLeftCell="A26" zoomScale="85" zoomScaleNormal="100" zoomScaleSheetLayoutView="85" workbookViewId="0">
      <selection activeCell="F3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DATE(YEAR([0]!年度開始年月日),MONTH([0]!年度開始年月日)+8,DAY([0]!年度開始年月日))</f>
        <v>44531</v>
      </c>
      <c r="B1" s="99"/>
      <c r="C1" s="99"/>
      <c r="D1" s="43" t="s">
        <v>0</v>
      </c>
      <c r="F1" s="43"/>
      <c r="G1" s="43"/>
      <c r="H1" s="45" t="s">
        <v>61</v>
      </c>
      <c r="I1" s="46"/>
    </row>
    <row r="2" spans="1:18" ht="15" customHeight="1" x14ac:dyDescent="0.2">
      <c r="A2" s="47"/>
      <c r="B2" s="47" t="s">
        <v>8</v>
      </c>
      <c r="C2" s="48">
        <f>A1</f>
        <v>44531</v>
      </c>
      <c r="D2" s="49"/>
      <c r="F2" s="50"/>
      <c r="G2" s="50"/>
      <c r="H2" s="50"/>
      <c r="I2" s="46"/>
    </row>
    <row r="3" spans="1:18" ht="15" customHeight="1" x14ac:dyDescent="0.2">
      <c r="A3" s="47"/>
      <c r="B3" s="47" t="s">
        <v>7</v>
      </c>
      <c r="C3" s="48">
        <f>DATE(YEAR(C2),MONTH(C2)+1,1)-1</f>
        <v>44561</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44561</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44531</v>
      </c>
      <c r="B8" s="39">
        <f t="shared" ref="B8:B38" si="0">A8</f>
        <v>44531</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44532</v>
      </c>
      <c r="B9" s="35">
        <f t="shared" si="0"/>
        <v>44532</v>
      </c>
      <c r="C9" s="30"/>
      <c r="D9" s="42"/>
      <c r="E9" s="78"/>
      <c r="F9" s="78"/>
      <c r="G9" s="68" t="str">
        <f t="shared" si="1"/>
        <v/>
      </c>
      <c r="H9" s="69" t="str">
        <f t="shared" si="2"/>
        <v/>
      </c>
      <c r="I9" s="41" t="str">
        <f t="shared" si="3"/>
        <v/>
      </c>
      <c r="Q9" s="65"/>
      <c r="R9" s="47"/>
    </row>
    <row r="10" spans="1:18" ht="22.5" customHeight="1" x14ac:dyDescent="0.2">
      <c r="A10" s="31">
        <f t="shared" si="4"/>
        <v>44533</v>
      </c>
      <c r="B10" s="35">
        <f t="shared" si="0"/>
        <v>44533</v>
      </c>
      <c r="C10" s="30"/>
      <c r="D10" s="42"/>
      <c r="E10" s="78"/>
      <c r="F10" s="78"/>
      <c r="G10" s="68" t="str">
        <f t="shared" si="1"/>
        <v/>
      </c>
      <c r="H10" s="69" t="str">
        <f t="shared" si="2"/>
        <v/>
      </c>
      <c r="I10" s="41" t="str">
        <f t="shared" si="3"/>
        <v/>
      </c>
      <c r="Q10" s="65"/>
      <c r="R10" s="47"/>
    </row>
    <row r="11" spans="1:18" ht="22.5" customHeight="1" x14ac:dyDescent="0.2">
      <c r="A11" s="31">
        <f t="shared" si="4"/>
        <v>44534</v>
      </c>
      <c r="B11" s="35">
        <f t="shared" si="0"/>
        <v>44534</v>
      </c>
      <c r="C11" s="30"/>
      <c r="D11" s="42"/>
      <c r="E11" s="78"/>
      <c r="F11" s="78"/>
      <c r="G11" s="68" t="str">
        <f t="shared" si="1"/>
        <v/>
      </c>
      <c r="H11" s="69" t="str">
        <f t="shared" si="2"/>
        <v/>
      </c>
      <c r="I11" s="41" t="str">
        <f t="shared" si="3"/>
        <v/>
      </c>
      <c r="Q11" s="65"/>
      <c r="R11" s="47"/>
    </row>
    <row r="12" spans="1:18" ht="22.5" customHeight="1" x14ac:dyDescent="0.2">
      <c r="A12" s="31">
        <f t="shared" si="4"/>
        <v>44535</v>
      </c>
      <c r="B12" s="35">
        <f t="shared" si="0"/>
        <v>44535</v>
      </c>
      <c r="C12" s="30"/>
      <c r="D12" s="42"/>
      <c r="E12" s="78"/>
      <c r="F12" s="78"/>
      <c r="G12" s="68" t="str">
        <f t="shared" si="1"/>
        <v/>
      </c>
      <c r="H12" s="69" t="str">
        <f t="shared" si="2"/>
        <v/>
      </c>
      <c r="I12" s="41" t="str">
        <f t="shared" si="3"/>
        <v/>
      </c>
      <c r="Q12" s="65"/>
      <c r="R12" s="47"/>
    </row>
    <row r="13" spans="1:18" ht="22.5" customHeight="1" x14ac:dyDescent="0.2">
      <c r="A13" s="31">
        <f t="shared" si="4"/>
        <v>44536</v>
      </c>
      <c r="B13" s="35">
        <f t="shared" si="0"/>
        <v>44536</v>
      </c>
      <c r="C13" s="30"/>
      <c r="D13" s="42"/>
      <c r="E13" s="78"/>
      <c r="F13" s="78"/>
      <c r="G13" s="68" t="str">
        <f t="shared" si="1"/>
        <v/>
      </c>
      <c r="H13" s="69" t="str">
        <f t="shared" si="2"/>
        <v/>
      </c>
      <c r="I13" s="41" t="str">
        <f t="shared" si="3"/>
        <v/>
      </c>
      <c r="Q13" s="65"/>
      <c r="R13" s="47"/>
    </row>
    <row r="14" spans="1:18" ht="22.5" customHeight="1" x14ac:dyDescent="0.2">
      <c r="A14" s="31">
        <f t="shared" si="4"/>
        <v>44537</v>
      </c>
      <c r="B14" s="35">
        <f t="shared" si="0"/>
        <v>44537</v>
      </c>
      <c r="C14" s="30"/>
      <c r="D14" s="42"/>
      <c r="E14" s="78"/>
      <c r="F14" s="78"/>
      <c r="G14" s="68" t="str">
        <f t="shared" si="1"/>
        <v/>
      </c>
      <c r="H14" s="69" t="str">
        <f t="shared" si="2"/>
        <v/>
      </c>
      <c r="I14" s="41" t="str">
        <f t="shared" si="3"/>
        <v/>
      </c>
      <c r="Q14" s="65"/>
      <c r="R14" s="47"/>
    </row>
    <row r="15" spans="1:18" ht="22.5" customHeight="1" x14ac:dyDescent="0.2">
      <c r="A15" s="31">
        <f t="shared" si="4"/>
        <v>44538</v>
      </c>
      <c r="B15" s="35">
        <f t="shared" si="0"/>
        <v>44538</v>
      </c>
      <c r="C15" s="30"/>
      <c r="D15" s="42"/>
      <c r="E15" s="78"/>
      <c r="F15" s="78"/>
      <c r="G15" s="68" t="str">
        <f t="shared" si="1"/>
        <v/>
      </c>
      <c r="H15" s="69" t="str">
        <f t="shared" si="2"/>
        <v/>
      </c>
      <c r="I15" s="41" t="str">
        <f t="shared" si="3"/>
        <v/>
      </c>
      <c r="Q15" s="65"/>
      <c r="R15" s="47"/>
    </row>
    <row r="16" spans="1:18" ht="22.5" customHeight="1" x14ac:dyDescent="0.2">
      <c r="A16" s="31">
        <f t="shared" si="4"/>
        <v>44539</v>
      </c>
      <c r="B16" s="35">
        <f t="shared" si="0"/>
        <v>44539</v>
      </c>
      <c r="C16" s="30"/>
      <c r="D16" s="42"/>
      <c r="E16" s="78"/>
      <c r="F16" s="78"/>
      <c r="G16" s="68" t="str">
        <f t="shared" si="1"/>
        <v/>
      </c>
      <c r="H16" s="69" t="str">
        <f t="shared" si="2"/>
        <v/>
      </c>
      <c r="I16" s="41" t="str">
        <f t="shared" si="3"/>
        <v/>
      </c>
      <c r="Q16" s="65"/>
      <c r="R16" s="47"/>
    </row>
    <row r="17" spans="1:18" ht="22.5" customHeight="1" x14ac:dyDescent="0.2">
      <c r="A17" s="31">
        <f t="shared" si="4"/>
        <v>44540</v>
      </c>
      <c r="B17" s="35">
        <f t="shared" si="0"/>
        <v>44540</v>
      </c>
      <c r="C17" s="30"/>
      <c r="D17" s="42"/>
      <c r="E17" s="78"/>
      <c r="F17" s="78"/>
      <c r="G17" s="68" t="str">
        <f t="shared" si="1"/>
        <v/>
      </c>
      <c r="H17" s="69" t="str">
        <f t="shared" si="2"/>
        <v/>
      </c>
      <c r="I17" s="41" t="str">
        <f t="shared" si="3"/>
        <v/>
      </c>
      <c r="Q17" s="65"/>
      <c r="R17" s="47"/>
    </row>
    <row r="18" spans="1:18" ht="22.5" customHeight="1" x14ac:dyDescent="0.2">
      <c r="A18" s="31">
        <f t="shared" si="4"/>
        <v>44541</v>
      </c>
      <c r="B18" s="35">
        <f t="shared" si="0"/>
        <v>44541</v>
      </c>
      <c r="C18" s="30"/>
      <c r="D18" s="42"/>
      <c r="E18" s="78"/>
      <c r="F18" s="78"/>
      <c r="G18" s="68" t="str">
        <f t="shared" si="1"/>
        <v/>
      </c>
      <c r="H18" s="69" t="str">
        <f t="shared" si="2"/>
        <v/>
      </c>
      <c r="I18" s="41" t="str">
        <f t="shared" si="3"/>
        <v/>
      </c>
      <c r="Q18" s="65"/>
      <c r="R18" s="47"/>
    </row>
    <row r="19" spans="1:18" ht="22.5" customHeight="1" x14ac:dyDescent="0.2">
      <c r="A19" s="31">
        <f t="shared" si="4"/>
        <v>44542</v>
      </c>
      <c r="B19" s="35">
        <f t="shared" si="0"/>
        <v>44542</v>
      </c>
      <c r="C19" s="30"/>
      <c r="D19" s="42"/>
      <c r="E19" s="78"/>
      <c r="F19" s="78"/>
      <c r="G19" s="68" t="str">
        <f t="shared" si="1"/>
        <v/>
      </c>
      <c r="H19" s="69" t="str">
        <f t="shared" si="2"/>
        <v/>
      </c>
      <c r="I19" s="41" t="str">
        <f t="shared" si="3"/>
        <v/>
      </c>
      <c r="Q19" s="65"/>
      <c r="R19" s="47"/>
    </row>
    <row r="20" spans="1:18" ht="22.5" customHeight="1" x14ac:dyDescent="0.2">
      <c r="A20" s="31">
        <f t="shared" si="4"/>
        <v>44543</v>
      </c>
      <c r="B20" s="35">
        <f t="shared" si="0"/>
        <v>44543</v>
      </c>
      <c r="C20" s="30"/>
      <c r="D20" s="42"/>
      <c r="E20" s="78"/>
      <c r="F20" s="78"/>
      <c r="G20" s="68" t="str">
        <f t="shared" si="1"/>
        <v/>
      </c>
      <c r="H20" s="69" t="str">
        <f t="shared" si="2"/>
        <v/>
      </c>
      <c r="I20" s="41" t="str">
        <f t="shared" si="3"/>
        <v/>
      </c>
      <c r="Q20" s="65"/>
      <c r="R20" s="47"/>
    </row>
    <row r="21" spans="1:18" ht="22.5" customHeight="1" x14ac:dyDescent="0.2">
      <c r="A21" s="31">
        <f t="shared" si="4"/>
        <v>44544</v>
      </c>
      <c r="B21" s="35">
        <f t="shared" si="0"/>
        <v>44544</v>
      </c>
      <c r="C21" s="30"/>
      <c r="D21" s="42"/>
      <c r="E21" s="78"/>
      <c r="F21" s="78"/>
      <c r="G21" s="68" t="str">
        <f t="shared" si="1"/>
        <v/>
      </c>
      <c r="H21" s="69" t="str">
        <f t="shared" si="2"/>
        <v/>
      </c>
      <c r="I21" s="41" t="str">
        <f t="shared" si="3"/>
        <v/>
      </c>
      <c r="Q21" s="65"/>
      <c r="R21" s="47"/>
    </row>
    <row r="22" spans="1:18" ht="22.5" customHeight="1" x14ac:dyDescent="0.2">
      <c r="A22" s="31">
        <f t="shared" si="4"/>
        <v>44545</v>
      </c>
      <c r="B22" s="35">
        <f t="shared" si="0"/>
        <v>44545</v>
      </c>
      <c r="C22" s="30"/>
      <c r="D22" s="42"/>
      <c r="E22" s="78"/>
      <c r="F22" s="78"/>
      <c r="G22" s="68" t="str">
        <f t="shared" si="1"/>
        <v/>
      </c>
      <c r="H22" s="69" t="str">
        <f t="shared" si="2"/>
        <v/>
      </c>
      <c r="I22" s="41" t="str">
        <f t="shared" si="3"/>
        <v/>
      </c>
      <c r="Q22" s="65"/>
      <c r="R22" s="47"/>
    </row>
    <row r="23" spans="1:18" ht="22.5" customHeight="1" x14ac:dyDescent="0.2">
      <c r="A23" s="31">
        <f t="shared" si="4"/>
        <v>44546</v>
      </c>
      <c r="B23" s="35">
        <f t="shared" si="0"/>
        <v>44546</v>
      </c>
      <c r="C23" s="30"/>
      <c r="D23" s="42"/>
      <c r="E23" s="78"/>
      <c r="F23" s="78"/>
      <c r="G23" s="68" t="str">
        <f t="shared" si="1"/>
        <v/>
      </c>
      <c r="H23" s="69" t="str">
        <f t="shared" si="2"/>
        <v/>
      </c>
      <c r="I23" s="41" t="str">
        <f t="shared" si="3"/>
        <v/>
      </c>
      <c r="Q23" s="65"/>
      <c r="R23" s="47"/>
    </row>
    <row r="24" spans="1:18" ht="22.5" customHeight="1" x14ac:dyDescent="0.2">
      <c r="A24" s="31">
        <f t="shared" si="4"/>
        <v>44547</v>
      </c>
      <c r="B24" s="35">
        <f t="shared" si="0"/>
        <v>44547</v>
      </c>
      <c r="C24" s="30"/>
      <c r="D24" s="42"/>
      <c r="E24" s="78"/>
      <c r="F24" s="78"/>
      <c r="G24" s="68" t="str">
        <f t="shared" si="1"/>
        <v/>
      </c>
      <c r="H24" s="69" t="str">
        <f t="shared" si="2"/>
        <v/>
      </c>
      <c r="I24" s="41" t="str">
        <f t="shared" si="3"/>
        <v/>
      </c>
      <c r="Q24" s="65"/>
      <c r="R24" s="47"/>
    </row>
    <row r="25" spans="1:18" ht="22.5" customHeight="1" x14ac:dyDescent="0.2">
      <c r="A25" s="31">
        <f t="shared" si="4"/>
        <v>44548</v>
      </c>
      <c r="B25" s="35">
        <f t="shared" si="0"/>
        <v>44548</v>
      </c>
      <c r="C25" s="30"/>
      <c r="D25" s="42"/>
      <c r="E25" s="78"/>
      <c r="F25" s="78"/>
      <c r="G25" s="68" t="str">
        <f t="shared" si="1"/>
        <v/>
      </c>
      <c r="H25" s="69" t="str">
        <f t="shared" si="2"/>
        <v/>
      </c>
      <c r="I25" s="41" t="str">
        <f t="shared" si="3"/>
        <v/>
      </c>
      <c r="Q25" s="65"/>
      <c r="R25" s="47"/>
    </row>
    <row r="26" spans="1:18" ht="22.5" customHeight="1" x14ac:dyDescent="0.2">
      <c r="A26" s="31">
        <f t="shared" si="4"/>
        <v>44549</v>
      </c>
      <c r="B26" s="35">
        <f t="shared" si="0"/>
        <v>44549</v>
      </c>
      <c r="C26" s="30"/>
      <c r="D26" s="42"/>
      <c r="E26" s="78"/>
      <c r="F26" s="78"/>
      <c r="G26" s="68" t="str">
        <f t="shared" si="1"/>
        <v/>
      </c>
      <c r="H26" s="69" t="str">
        <f t="shared" si="2"/>
        <v/>
      </c>
      <c r="I26" s="41" t="str">
        <f t="shared" si="3"/>
        <v/>
      </c>
      <c r="Q26" s="65"/>
      <c r="R26" s="47"/>
    </row>
    <row r="27" spans="1:18" ht="22.5" customHeight="1" x14ac:dyDescent="0.2">
      <c r="A27" s="31">
        <f t="shared" si="4"/>
        <v>44550</v>
      </c>
      <c r="B27" s="35">
        <f t="shared" si="0"/>
        <v>44550</v>
      </c>
      <c r="C27" s="30"/>
      <c r="D27" s="42"/>
      <c r="E27" s="78"/>
      <c r="F27" s="78"/>
      <c r="G27" s="68" t="str">
        <f t="shared" si="1"/>
        <v/>
      </c>
      <c r="H27" s="69" t="str">
        <f t="shared" si="2"/>
        <v/>
      </c>
      <c r="I27" s="41" t="str">
        <f t="shared" si="3"/>
        <v/>
      </c>
      <c r="Q27" s="65"/>
      <c r="R27" s="47"/>
    </row>
    <row r="28" spans="1:18" ht="22.5" customHeight="1" x14ac:dyDescent="0.2">
      <c r="A28" s="31">
        <f t="shared" si="4"/>
        <v>44551</v>
      </c>
      <c r="B28" s="35">
        <f t="shared" si="0"/>
        <v>44551</v>
      </c>
      <c r="C28" s="30"/>
      <c r="D28" s="42"/>
      <c r="E28" s="78"/>
      <c r="F28" s="78"/>
      <c r="G28" s="68" t="str">
        <f t="shared" si="1"/>
        <v/>
      </c>
      <c r="H28" s="69" t="str">
        <f t="shared" si="2"/>
        <v/>
      </c>
      <c r="I28" s="41" t="str">
        <f t="shared" si="3"/>
        <v/>
      </c>
      <c r="Q28" s="65"/>
      <c r="R28" s="47"/>
    </row>
    <row r="29" spans="1:18" ht="22.5" customHeight="1" x14ac:dyDescent="0.2">
      <c r="A29" s="31">
        <f t="shared" si="4"/>
        <v>44552</v>
      </c>
      <c r="B29" s="35">
        <f t="shared" si="0"/>
        <v>44552</v>
      </c>
      <c r="C29" s="30"/>
      <c r="D29" s="42"/>
      <c r="E29" s="78"/>
      <c r="F29" s="78"/>
      <c r="G29" s="68" t="str">
        <f t="shared" si="1"/>
        <v/>
      </c>
      <c r="H29" s="69" t="str">
        <f t="shared" si="2"/>
        <v/>
      </c>
      <c r="I29" s="41" t="str">
        <f t="shared" si="3"/>
        <v/>
      </c>
    </row>
    <row r="30" spans="1:18" ht="22.5" customHeight="1" x14ac:dyDescent="0.2">
      <c r="A30" s="31">
        <f t="shared" si="4"/>
        <v>44553</v>
      </c>
      <c r="B30" s="35">
        <f t="shared" si="0"/>
        <v>44553</v>
      </c>
      <c r="C30" s="30"/>
      <c r="D30" s="42"/>
      <c r="E30" s="78"/>
      <c r="F30" s="78"/>
      <c r="G30" s="68" t="str">
        <f t="shared" si="1"/>
        <v/>
      </c>
      <c r="H30" s="69" t="str">
        <f t="shared" si="2"/>
        <v/>
      </c>
      <c r="I30" s="41" t="str">
        <f t="shared" si="3"/>
        <v/>
      </c>
    </row>
    <row r="31" spans="1:18" ht="22.5" customHeight="1" x14ac:dyDescent="0.2">
      <c r="A31" s="31">
        <f t="shared" si="4"/>
        <v>44554</v>
      </c>
      <c r="B31" s="35">
        <f t="shared" si="0"/>
        <v>44554</v>
      </c>
      <c r="C31" s="30"/>
      <c r="D31" s="42"/>
      <c r="E31" s="78"/>
      <c r="F31" s="78"/>
      <c r="G31" s="68" t="str">
        <f t="shared" si="1"/>
        <v/>
      </c>
      <c r="H31" s="69" t="str">
        <f t="shared" si="2"/>
        <v/>
      </c>
      <c r="I31" s="41" t="str">
        <f t="shared" si="3"/>
        <v/>
      </c>
    </row>
    <row r="32" spans="1:18" ht="22.5" customHeight="1" x14ac:dyDescent="0.2">
      <c r="A32" s="31">
        <f t="shared" si="4"/>
        <v>44555</v>
      </c>
      <c r="B32" s="35">
        <f t="shared" si="0"/>
        <v>44555</v>
      </c>
      <c r="C32" s="30"/>
      <c r="D32" s="42"/>
      <c r="E32" s="78"/>
      <c r="F32" s="78"/>
      <c r="G32" s="68" t="str">
        <f t="shared" si="1"/>
        <v/>
      </c>
      <c r="H32" s="69" t="str">
        <f t="shared" si="2"/>
        <v/>
      </c>
      <c r="I32" s="41" t="str">
        <f t="shared" si="3"/>
        <v/>
      </c>
    </row>
    <row r="33" spans="1:9" ht="22.5" customHeight="1" x14ac:dyDescent="0.2">
      <c r="A33" s="31">
        <f t="shared" si="4"/>
        <v>44556</v>
      </c>
      <c r="B33" s="35">
        <f t="shared" si="0"/>
        <v>44556</v>
      </c>
      <c r="C33" s="30"/>
      <c r="D33" s="42"/>
      <c r="E33" s="78"/>
      <c r="F33" s="78"/>
      <c r="G33" s="68" t="str">
        <f t="shared" si="1"/>
        <v/>
      </c>
      <c r="H33" s="69" t="str">
        <f t="shared" si="2"/>
        <v/>
      </c>
      <c r="I33" s="41" t="str">
        <f t="shared" si="3"/>
        <v/>
      </c>
    </row>
    <row r="34" spans="1:9" ht="22.5" customHeight="1" x14ac:dyDescent="0.2">
      <c r="A34" s="31">
        <f t="shared" si="4"/>
        <v>44557</v>
      </c>
      <c r="B34" s="35">
        <f t="shared" si="0"/>
        <v>44557</v>
      </c>
      <c r="C34" s="30"/>
      <c r="D34" s="42"/>
      <c r="E34" s="78"/>
      <c r="F34" s="78"/>
      <c r="G34" s="68" t="str">
        <f t="shared" si="1"/>
        <v/>
      </c>
      <c r="H34" s="69" t="str">
        <f t="shared" si="2"/>
        <v/>
      </c>
      <c r="I34" s="41" t="str">
        <f t="shared" si="3"/>
        <v/>
      </c>
    </row>
    <row r="35" spans="1:9" ht="22.5" customHeight="1" x14ac:dyDescent="0.2">
      <c r="A35" s="31">
        <f t="shared" si="4"/>
        <v>44558</v>
      </c>
      <c r="B35" s="35">
        <f t="shared" si="0"/>
        <v>44558</v>
      </c>
      <c r="C35" s="30"/>
      <c r="D35" s="42"/>
      <c r="E35" s="78"/>
      <c r="F35" s="78"/>
      <c r="G35" s="68" t="str">
        <f t="shared" si="1"/>
        <v/>
      </c>
      <c r="H35" s="69" t="str">
        <f t="shared" si="2"/>
        <v/>
      </c>
      <c r="I35" s="41" t="str">
        <f t="shared" si="3"/>
        <v/>
      </c>
    </row>
    <row r="36" spans="1:9" ht="22.5" customHeight="1" x14ac:dyDescent="0.2">
      <c r="A36" s="31">
        <f t="shared" si="4"/>
        <v>44559</v>
      </c>
      <c r="B36" s="35">
        <f t="shared" si="0"/>
        <v>44559</v>
      </c>
      <c r="C36" s="30"/>
      <c r="D36" s="42"/>
      <c r="E36" s="78"/>
      <c r="F36" s="78"/>
      <c r="G36" s="68" t="str">
        <f t="shared" si="1"/>
        <v/>
      </c>
      <c r="H36" s="69" t="str">
        <f t="shared" si="2"/>
        <v/>
      </c>
      <c r="I36" s="41" t="str">
        <f t="shared" si="3"/>
        <v/>
      </c>
    </row>
    <row r="37" spans="1:9" ht="22.5" customHeight="1" x14ac:dyDescent="0.2">
      <c r="A37" s="31">
        <f t="shared" si="4"/>
        <v>44560</v>
      </c>
      <c r="B37" s="35">
        <f t="shared" si="0"/>
        <v>44560</v>
      </c>
      <c r="C37" s="30"/>
      <c r="D37" s="42"/>
      <c r="E37" s="78"/>
      <c r="F37" s="78"/>
      <c r="G37" s="68" t="str">
        <f t="shared" si="1"/>
        <v/>
      </c>
      <c r="H37" s="69" t="str">
        <f t="shared" si="2"/>
        <v/>
      </c>
      <c r="I37" s="41" t="str">
        <f t="shared" si="3"/>
        <v/>
      </c>
    </row>
    <row r="38" spans="1:9" ht="22.5" customHeight="1" thickBot="1" x14ac:dyDescent="0.25">
      <c r="A38" s="36">
        <f t="shared" si="4"/>
        <v>44561</v>
      </c>
      <c r="B38" s="37">
        <f t="shared" si="0"/>
        <v>44561</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11" priority="1" stopIfTrue="1">
      <formula>WEEKDAY($A8)=1</formula>
    </cfRule>
    <cfRule type="expression" dxfId="10" priority="2" stopIfTrue="1">
      <formula>WEEKDAY($A8)=7</formula>
    </cfRule>
    <cfRule type="expression" dxfId="9" priority="3" stopIfTrue="1">
      <formula>国民の祝日($A8,0)</formula>
    </cfRule>
  </conditionalFormatting>
  <dataValidations count="1">
    <dataValidation type="list" showInputMessage="1" sqref="D8:D38" xr:uid="{00000000-0002-0000-0C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R41"/>
  <sheetViews>
    <sheetView view="pageBreakPreview" topLeftCell="A26" zoomScale="85" zoomScaleNormal="100" zoomScaleSheetLayoutView="85" workbookViewId="0">
      <selection activeCell="F3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DATE(YEAR([0]!年度開始年月日),MONTH([0]!年度開始年月日)+9,DAY([0]!年度開始年月日))</f>
        <v>44562</v>
      </c>
      <c r="B1" s="99"/>
      <c r="C1" s="99"/>
      <c r="D1" s="43" t="s">
        <v>0</v>
      </c>
      <c r="F1" s="43"/>
      <c r="G1" s="43"/>
      <c r="H1" s="45" t="s">
        <v>61</v>
      </c>
      <c r="I1" s="46"/>
    </row>
    <row r="2" spans="1:18" ht="15" customHeight="1" x14ac:dyDescent="0.2">
      <c r="A2" s="47"/>
      <c r="B2" s="47" t="s">
        <v>8</v>
      </c>
      <c r="C2" s="48">
        <f>A1</f>
        <v>44562</v>
      </c>
      <c r="D2" s="49"/>
      <c r="F2" s="50"/>
      <c r="G2" s="50"/>
      <c r="H2" s="50"/>
      <c r="I2" s="46"/>
    </row>
    <row r="3" spans="1:18" ht="15" customHeight="1" x14ac:dyDescent="0.2">
      <c r="A3" s="47"/>
      <c r="B3" s="47" t="s">
        <v>7</v>
      </c>
      <c r="C3" s="48">
        <f>DATE(YEAR(C2),MONTH(C2)+1,1)-1</f>
        <v>44592</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44592</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44562</v>
      </c>
      <c r="B8" s="39">
        <f t="shared" ref="B8:B38" si="0">A8</f>
        <v>44562</v>
      </c>
      <c r="C8" s="40"/>
      <c r="D8" s="42"/>
      <c r="E8" s="77"/>
      <c r="F8" s="77"/>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44563</v>
      </c>
      <c r="B9" s="35">
        <f t="shared" si="0"/>
        <v>44563</v>
      </c>
      <c r="C9" s="30"/>
      <c r="D9" s="42"/>
      <c r="E9" s="78"/>
      <c r="F9" s="78"/>
      <c r="G9" s="68" t="str">
        <f t="shared" si="1"/>
        <v/>
      </c>
      <c r="H9" s="69" t="str">
        <f t="shared" si="2"/>
        <v/>
      </c>
      <c r="I9" s="41" t="str">
        <f t="shared" si="3"/>
        <v/>
      </c>
      <c r="Q9" s="65"/>
      <c r="R9" s="47"/>
    </row>
    <row r="10" spans="1:18" ht="22.5" customHeight="1" x14ac:dyDescent="0.2">
      <c r="A10" s="31">
        <f t="shared" si="4"/>
        <v>44564</v>
      </c>
      <c r="B10" s="35">
        <f t="shared" si="0"/>
        <v>44564</v>
      </c>
      <c r="C10" s="30"/>
      <c r="D10" s="42"/>
      <c r="E10" s="78"/>
      <c r="F10" s="78"/>
      <c r="G10" s="68" t="str">
        <f t="shared" si="1"/>
        <v/>
      </c>
      <c r="H10" s="69" t="str">
        <f t="shared" si="2"/>
        <v/>
      </c>
      <c r="I10" s="41" t="str">
        <f t="shared" si="3"/>
        <v/>
      </c>
      <c r="Q10" s="65"/>
      <c r="R10" s="47"/>
    </row>
    <row r="11" spans="1:18" ht="22.5" customHeight="1" x14ac:dyDescent="0.2">
      <c r="A11" s="31">
        <f t="shared" si="4"/>
        <v>44565</v>
      </c>
      <c r="B11" s="35">
        <f t="shared" si="0"/>
        <v>44565</v>
      </c>
      <c r="C11" s="30"/>
      <c r="D11" s="42"/>
      <c r="E11" s="78"/>
      <c r="F11" s="78"/>
      <c r="G11" s="68" t="str">
        <f t="shared" si="1"/>
        <v/>
      </c>
      <c r="H11" s="69" t="str">
        <f t="shared" si="2"/>
        <v/>
      </c>
      <c r="I11" s="41" t="str">
        <f t="shared" si="3"/>
        <v/>
      </c>
      <c r="Q11" s="65"/>
      <c r="R11" s="47"/>
    </row>
    <row r="12" spans="1:18" ht="22.5" customHeight="1" x14ac:dyDescent="0.2">
      <c r="A12" s="31">
        <f t="shared" si="4"/>
        <v>44566</v>
      </c>
      <c r="B12" s="35">
        <f t="shared" si="0"/>
        <v>44566</v>
      </c>
      <c r="C12" s="30"/>
      <c r="D12" s="42"/>
      <c r="E12" s="78"/>
      <c r="F12" s="78"/>
      <c r="G12" s="68" t="str">
        <f t="shared" si="1"/>
        <v/>
      </c>
      <c r="H12" s="69" t="str">
        <f t="shared" si="2"/>
        <v/>
      </c>
      <c r="I12" s="41" t="str">
        <f t="shared" si="3"/>
        <v/>
      </c>
      <c r="Q12" s="65"/>
      <c r="R12" s="47"/>
    </row>
    <row r="13" spans="1:18" ht="22.5" customHeight="1" x14ac:dyDescent="0.2">
      <c r="A13" s="31">
        <f t="shared" si="4"/>
        <v>44567</v>
      </c>
      <c r="B13" s="35">
        <f t="shared" si="0"/>
        <v>44567</v>
      </c>
      <c r="C13" s="30"/>
      <c r="D13" s="42"/>
      <c r="E13" s="78"/>
      <c r="F13" s="78"/>
      <c r="G13" s="68" t="str">
        <f t="shared" si="1"/>
        <v/>
      </c>
      <c r="H13" s="69" t="str">
        <f t="shared" si="2"/>
        <v/>
      </c>
      <c r="I13" s="41" t="str">
        <f t="shared" si="3"/>
        <v/>
      </c>
      <c r="Q13" s="65"/>
      <c r="R13" s="47"/>
    </row>
    <row r="14" spans="1:18" ht="22.5" customHeight="1" x14ac:dyDescent="0.2">
      <c r="A14" s="31">
        <f t="shared" si="4"/>
        <v>44568</v>
      </c>
      <c r="B14" s="35">
        <f t="shared" si="0"/>
        <v>44568</v>
      </c>
      <c r="C14" s="30"/>
      <c r="D14" s="42"/>
      <c r="E14" s="78"/>
      <c r="F14" s="78"/>
      <c r="G14" s="68" t="str">
        <f t="shared" si="1"/>
        <v/>
      </c>
      <c r="H14" s="69" t="str">
        <f t="shared" si="2"/>
        <v/>
      </c>
      <c r="I14" s="41" t="str">
        <f t="shared" si="3"/>
        <v/>
      </c>
      <c r="Q14" s="65"/>
      <c r="R14" s="47"/>
    </row>
    <row r="15" spans="1:18" ht="22.5" customHeight="1" x14ac:dyDescent="0.2">
      <c r="A15" s="31">
        <f t="shared" si="4"/>
        <v>44569</v>
      </c>
      <c r="B15" s="35">
        <f t="shared" si="0"/>
        <v>44569</v>
      </c>
      <c r="C15" s="30"/>
      <c r="D15" s="42"/>
      <c r="E15" s="78"/>
      <c r="F15" s="78"/>
      <c r="G15" s="68" t="str">
        <f t="shared" si="1"/>
        <v/>
      </c>
      <c r="H15" s="69" t="str">
        <f t="shared" si="2"/>
        <v/>
      </c>
      <c r="I15" s="41" t="str">
        <f t="shared" si="3"/>
        <v/>
      </c>
      <c r="Q15" s="65"/>
      <c r="R15" s="47"/>
    </row>
    <row r="16" spans="1:18" ht="22.5" customHeight="1" x14ac:dyDescent="0.2">
      <c r="A16" s="31">
        <f t="shared" si="4"/>
        <v>44570</v>
      </c>
      <c r="B16" s="35">
        <f t="shared" si="0"/>
        <v>44570</v>
      </c>
      <c r="C16" s="30"/>
      <c r="D16" s="42"/>
      <c r="E16" s="78"/>
      <c r="F16" s="78"/>
      <c r="G16" s="68" t="str">
        <f t="shared" si="1"/>
        <v/>
      </c>
      <c r="H16" s="69" t="str">
        <f t="shared" si="2"/>
        <v/>
      </c>
      <c r="I16" s="41" t="str">
        <f t="shared" si="3"/>
        <v/>
      </c>
      <c r="Q16" s="65"/>
      <c r="R16" s="47"/>
    </row>
    <row r="17" spans="1:18" ht="22.5" customHeight="1" x14ac:dyDescent="0.2">
      <c r="A17" s="31">
        <f t="shared" si="4"/>
        <v>44571</v>
      </c>
      <c r="B17" s="35">
        <f t="shared" si="0"/>
        <v>44571</v>
      </c>
      <c r="C17" s="30"/>
      <c r="D17" s="42"/>
      <c r="E17" s="78"/>
      <c r="F17" s="78"/>
      <c r="G17" s="68" t="str">
        <f t="shared" si="1"/>
        <v/>
      </c>
      <c r="H17" s="69" t="str">
        <f t="shared" si="2"/>
        <v/>
      </c>
      <c r="I17" s="41" t="str">
        <f t="shared" si="3"/>
        <v/>
      </c>
      <c r="Q17" s="65"/>
      <c r="R17" s="47"/>
    </row>
    <row r="18" spans="1:18" ht="22.5" customHeight="1" x14ac:dyDescent="0.2">
      <c r="A18" s="31">
        <f t="shared" si="4"/>
        <v>44572</v>
      </c>
      <c r="B18" s="35">
        <f t="shared" si="0"/>
        <v>44572</v>
      </c>
      <c r="C18" s="30"/>
      <c r="D18" s="42"/>
      <c r="E18" s="78"/>
      <c r="F18" s="78"/>
      <c r="G18" s="68" t="str">
        <f t="shared" si="1"/>
        <v/>
      </c>
      <c r="H18" s="69" t="str">
        <f t="shared" si="2"/>
        <v/>
      </c>
      <c r="I18" s="41" t="str">
        <f t="shared" si="3"/>
        <v/>
      </c>
      <c r="Q18" s="65"/>
      <c r="R18" s="47"/>
    </row>
    <row r="19" spans="1:18" ht="22.5" customHeight="1" x14ac:dyDescent="0.2">
      <c r="A19" s="31">
        <f t="shared" si="4"/>
        <v>44573</v>
      </c>
      <c r="B19" s="35">
        <f t="shared" si="0"/>
        <v>44573</v>
      </c>
      <c r="C19" s="30"/>
      <c r="D19" s="42"/>
      <c r="E19" s="78"/>
      <c r="F19" s="78"/>
      <c r="G19" s="68" t="str">
        <f t="shared" si="1"/>
        <v/>
      </c>
      <c r="H19" s="69" t="str">
        <f t="shared" si="2"/>
        <v/>
      </c>
      <c r="I19" s="41" t="str">
        <f t="shared" si="3"/>
        <v/>
      </c>
      <c r="Q19" s="65"/>
      <c r="R19" s="47"/>
    </row>
    <row r="20" spans="1:18" ht="22.5" customHeight="1" x14ac:dyDescent="0.2">
      <c r="A20" s="31">
        <f t="shared" si="4"/>
        <v>44574</v>
      </c>
      <c r="B20" s="35">
        <f t="shared" si="0"/>
        <v>44574</v>
      </c>
      <c r="C20" s="30"/>
      <c r="D20" s="42"/>
      <c r="E20" s="78"/>
      <c r="F20" s="78"/>
      <c r="G20" s="68" t="str">
        <f t="shared" si="1"/>
        <v/>
      </c>
      <c r="H20" s="69" t="str">
        <f t="shared" si="2"/>
        <v/>
      </c>
      <c r="I20" s="41" t="str">
        <f t="shared" si="3"/>
        <v/>
      </c>
      <c r="Q20" s="65"/>
      <c r="R20" s="47"/>
    </row>
    <row r="21" spans="1:18" ht="22.5" customHeight="1" x14ac:dyDescent="0.2">
      <c r="A21" s="31">
        <f t="shared" si="4"/>
        <v>44575</v>
      </c>
      <c r="B21" s="35">
        <f t="shared" si="0"/>
        <v>44575</v>
      </c>
      <c r="C21" s="30"/>
      <c r="D21" s="42"/>
      <c r="E21" s="78"/>
      <c r="F21" s="78"/>
      <c r="G21" s="68" t="str">
        <f t="shared" si="1"/>
        <v/>
      </c>
      <c r="H21" s="69" t="str">
        <f t="shared" si="2"/>
        <v/>
      </c>
      <c r="I21" s="41" t="str">
        <f t="shared" si="3"/>
        <v/>
      </c>
      <c r="Q21" s="65"/>
      <c r="R21" s="47"/>
    </row>
    <row r="22" spans="1:18" ht="22.5" customHeight="1" x14ac:dyDescent="0.2">
      <c r="A22" s="31">
        <f t="shared" si="4"/>
        <v>44576</v>
      </c>
      <c r="B22" s="35">
        <f t="shared" si="0"/>
        <v>44576</v>
      </c>
      <c r="C22" s="30"/>
      <c r="D22" s="42"/>
      <c r="E22" s="78"/>
      <c r="F22" s="78"/>
      <c r="G22" s="68" t="str">
        <f t="shared" si="1"/>
        <v/>
      </c>
      <c r="H22" s="69" t="str">
        <f t="shared" si="2"/>
        <v/>
      </c>
      <c r="I22" s="41" t="str">
        <f t="shared" si="3"/>
        <v/>
      </c>
      <c r="Q22" s="65"/>
      <c r="R22" s="47"/>
    </row>
    <row r="23" spans="1:18" ht="22.5" customHeight="1" x14ac:dyDescent="0.2">
      <c r="A23" s="31">
        <f t="shared" si="4"/>
        <v>44577</v>
      </c>
      <c r="B23" s="35">
        <f t="shared" si="0"/>
        <v>44577</v>
      </c>
      <c r="C23" s="30"/>
      <c r="D23" s="42"/>
      <c r="E23" s="78"/>
      <c r="F23" s="78"/>
      <c r="G23" s="68" t="str">
        <f t="shared" si="1"/>
        <v/>
      </c>
      <c r="H23" s="69" t="str">
        <f t="shared" si="2"/>
        <v/>
      </c>
      <c r="I23" s="41" t="str">
        <f t="shared" si="3"/>
        <v/>
      </c>
      <c r="Q23" s="65"/>
      <c r="R23" s="47"/>
    </row>
    <row r="24" spans="1:18" ht="22.5" customHeight="1" x14ac:dyDescent="0.2">
      <c r="A24" s="31">
        <f t="shared" si="4"/>
        <v>44578</v>
      </c>
      <c r="B24" s="35">
        <f t="shared" si="0"/>
        <v>44578</v>
      </c>
      <c r="C24" s="30"/>
      <c r="D24" s="42"/>
      <c r="E24" s="78"/>
      <c r="F24" s="78"/>
      <c r="G24" s="68" t="str">
        <f t="shared" si="1"/>
        <v/>
      </c>
      <c r="H24" s="69" t="str">
        <f t="shared" si="2"/>
        <v/>
      </c>
      <c r="I24" s="41" t="str">
        <f t="shared" si="3"/>
        <v/>
      </c>
      <c r="Q24" s="65"/>
      <c r="R24" s="47"/>
    </row>
    <row r="25" spans="1:18" ht="22.5" customHeight="1" x14ac:dyDescent="0.2">
      <c r="A25" s="31">
        <f t="shared" si="4"/>
        <v>44579</v>
      </c>
      <c r="B25" s="35">
        <f t="shared" si="0"/>
        <v>44579</v>
      </c>
      <c r="C25" s="30"/>
      <c r="D25" s="42"/>
      <c r="E25" s="78"/>
      <c r="F25" s="78"/>
      <c r="G25" s="68" t="str">
        <f t="shared" si="1"/>
        <v/>
      </c>
      <c r="H25" s="69" t="str">
        <f t="shared" si="2"/>
        <v/>
      </c>
      <c r="I25" s="41" t="str">
        <f t="shared" si="3"/>
        <v/>
      </c>
      <c r="Q25" s="65"/>
      <c r="R25" s="47"/>
    </row>
    <row r="26" spans="1:18" ht="22.5" customHeight="1" x14ac:dyDescent="0.2">
      <c r="A26" s="31">
        <f t="shared" si="4"/>
        <v>44580</v>
      </c>
      <c r="B26" s="35">
        <f t="shared" si="0"/>
        <v>44580</v>
      </c>
      <c r="C26" s="30"/>
      <c r="D26" s="42"/>
      <c r="E26" s="78"/>
      <c r="F26" s="78"/>
      <c r="G26" s="68" t="str">
        <f t="shared" si="1"/>
        <v/>
      </c>
      <c r="H26" s="69" t="str">
        <f t="shared" si="2"/>
        <v/>
      </c>
      <c r="I26" s="41" t="str">
        <f t="shared" si="3"/>
        <v/>
      </c>
      <c r="Q26" s="65"/>
      <c r="R26" s="47"/>
    </row>
    <row r="27" spans="1:18" ht="22.5" customHeight="1" x14ac:dyDescent="0.2">
      <c r="A27" s="31">
        <f t="shared" si="4"/>
        <v>44581</v>
      </c>
      <c r="B27" s="35">
        <f t="shared" si="0"/>
        <v>44581</v>
      </c>
      <c r="C27" s="30"/>
      <c r="D27" s="42"/>
      <c r="E27" s="78"/>
      <c r="F27" s="78"/>
      <c r="G27" s="68" t="str">
        <f t="shared" si="1"/>
        <v/>
      </c>
      <c r="H27" s="69" t="str">
        <f t="shared" si="2"/>
        <v/>
      </c>
      <c r="I27" s="41" t="str">
        <f t="shared" si="3"/>
        <v/>
      </c>
      <c r="Q27" s="65"/>
      <c r="R27" s="47"/>
    </row>
    <row r="28" spans="1:18" ht="22.5" customHeight="1" x14ac:dyDescent="0.2">
      <c r="A28" s="31">
        <f t="shared" si="4"/>
        <v>44582</v>
      </c>
      <c r="B28" s="35">
        <f t="shared" si="0"/>
        <v>44582</v>
      </c>
      <c r="C28" s="30"/>
      <c r="D28" s="42"/>
      <c r="E28" s="78"/>
      <c r="F28" s="78"/>
      <c r="G28" s="68" t="str">
        <f t="shared" si="1"/>
        <v/>
      </c>
      <c r="H28" s="69" t="str">
        <f t="shared" si="2"/>
        <v/>
      </c>
      <c r="I28" s="41" t="str">
        <f t="shared" si="3"/>
        <v/>
      </c>
      <c r="Q28" s="65"/>
      <c r="R28" s="47"/>
    </row>
    <row r="29" spans="1:18" ht="22.5" customHeight="1" x14ac:dyDescent="0.2">
      <c r="A29" s="31">
        <f t="shared" si="4"/>
        <v>44583</v>
      </c>
      <c r="B29" s="35">
        <f t="shared" si="0"/>
        <v>44583</v>
      </c>
      <c r="C29" s="30"/>
      <c r="D29" s="42"/>
      <c r="E29" s="78"/>
      <c r="F29" s="78"/>
      <c r="G29" s="68" t="str">
        <f t="shared" si="1"/>
        <v/>
      </c>
      <c r="H29" s="69" t="str">
        <f t="shared" si="2"/>
        <v/>
      </c>
      <c r="I29" s="41" t="str">
        <f t="shared" si="3"/>
        <v/>
      </c>
    </row>
    <row r="30" spans="1:18" ht="22.5" customHeight="1" x14ac:dyDescent="0.2">
      <c r="A30" s="31">
        <f t="shared" si="4"/>
        <v>44584</v>
      </c>
      <c r="B30" s="35">
        <f t="shared" si="0"/>
        <v>44584</v>
      </c>
      <c r="C30" s="30"/>
      <c r="D30" s="42"/>
      <c r="E30" s="78"/>
      <c r="F30" s="78"/>
      <c r="G30" s="68" t="str">
        <f t="shared" si="1"/>
        <v/>
      </c>
      <c r="H30" s="69" t="str">
        <f t="shared" si="2"/>
        <v/>
      </c>
      <c r="I30" s="41" t="str">
        <f t="shared" si="3"/>
        <v/>
      </c>
    </row>
    <row r="31" spans="1:18" ht="22.5" customHeight="1" x14ac:dyDescent="0.2">
      <c r="A31" s="31">
        <f t="shared" si="4"/>
        <v>44585</v>
      </c>
      <c r="B31" s="35">
        <f t="shared" si="0"/>
        <v>44585</v>
      </c>
      <c r="C31" s="30"/>
      <c r="D31" s="42"/>
      <c r="E31" s="78"/>
      <c r="F31" s="78"/>
      <c r="G31" s="68" t="str">
        <f t="shared" si="1"/>
        <v/>
      </c>
      <c r="H31" s="69" t="str">
        <f t="shared" si="2"/>
        <v/>
      </c>
      <c r="I31" s="41" t="str">
        <f t="shared" si="3"/>
        <v/>
      </c>
    </row>
    <row r="32" spans="1:18" ht="22.5" customHeight="1" x14ac:dyDescent="0.2">
      <c r="A32" s="31">
        <f t="shared" si="4"/>
        <v>44586</v>
      </c>
      <c r="B32" s="35">
        <f t="shared" si="0"/>
        <v>44586</v>
      </c>
      <c r="C32" s="30"/>
      <c r="D32" s="42"/>
      <c r="E32" s="78"/>
      <c r="F32" s="78"/>
      <c r="G32" s="68" t="str">
        <f t="shared" si="1"/>
        <v/>
      </c>
      <c r="H32" s="69" t="str">
        <f t="shared" si="2"/>
        <v/>
      </c>
      <c r="I32" s="41" t="str">
        <f t="shared" si="3"/>
        <v/>
      </c>
    </row>
    <row r="33" spans="1:9" ht="22.5" customHeight="1" x14ac:dyDescent="0.2">
      <c r="A33" s="31">
        <f t="shared" si="4"/>
        <v>44587</v>
      </c>
      <c r="B33" s="35">
        <f t="shared" si="0"/>
        <v>44587</v>
      </c>
      <c r="C33" s="30"/>
      <c r="D33" s="42"/>
      <c r="E33" s="78"/>
      <c r="F33" s="78"/>
      <c r="G33" s="68" t="str">
        <f t="shared" si="1"/>
        <v/>
      </c>
      <c r="H33" s="69" t="str">
        <f t="shared" si="2"/>
        <v/>
      </c>
      <c r="I33" s="41" t="str">
        <f t="shared" si="3"/>
        <v/>
      </c>
    </row>
    <row r="34" spans="1:9" ht="22.5" customHeight="1" x14ac:dyDescent="0.2">
      <c r="A34" s="31">
        <f t="shared" si="4"/>
        <v>44588</v>
      </c>
      <c r="B34" s="35">
        <f t="shared" si="0"/>
        <v>44588</v>
      </c>
      <c r="C34" s="30"/>
      <c r="D34" s="42"/>
      <c r="E34" s="78"/>
      <c r="F34" s="78"/>
      <c r="G34" s="68" t="str">
        <f t="shared" si="1"/>
        <v/>
      </c>
      <c r="H34" s="69" t="str">
        <f t="shared" si="2"/>
        <v/>
      </c>
      <c r="I34" s="41" t="str">
        <f t="shared" si="3"/>
        <v/>
      </c>
    </row>
    <row r="35" spans="1:9" ht="22.5" customHeight="1" x14ac:dyDescent="0.2">
      <c r="A35" s="31">
        <f t="shared" si="4"/>
        <v>44589</v>
      </c>
      <c r="B35" s="35">
        <f t="shared" si="0"/>
        <v>44589</v>
      </c>
      <c r="C35" s="30"/>
      <c r="D35" s="42"/>
      <c r="E35" s="78"/>
      <c r="F35" s="78"/>
      <c r="G35" s="68" t="str">
        <f t="shared" si="1"/>
        <v/>
      </c>
      <c r="H35" s="69" t="str">
        <f t="shared" si="2"/>
        <v/>
      </c>
      <c r="I35" s="41" t="str">
        <f t="shared" si="3"/>
        <v/>
      </c>
    </row>
    <row r="36" spans="1:9" ht="22.5" customHeight="1" x14ac:dyDescent="0.2">
      <c r="A36" s="31">
        <f t="shared" si="4"/>
        <v>44590</v>
      </c>
      <c r="B36" s="35">
        <f t="shared" si="0"/>
        <v>44590</v>
      </c>
      <c r="C36" s="30"/>
      <c r="D36" s="42"/>
      <c r="E36" s="78"/>
      <c r="F36" s="78"/>
      <c r="G36" s="68" t="str">
        <f t="shared" si="1"/>
        <v/>
      </c>
      <c r="H36" s="69" t="str">
        <f t="shared" si="2"/>
        <v/>
      </c>
      <c r="I36" s="41" t="str">
        <f t="shared" si="3"/>
        <v/>
      </c>
    </row>
    <row r="37" spans="1:9" ht="22.5" customHeight="1" x14ac:dyDescent="0.2">
      <c r="A37" s="31">
        <f t="shared" si="4"/>
        <v>44591</v>
      </c>
      <c r="B37" s="35">
        <f t="shared" si="0"/>
        <v>44591</v>
      </c>
      <c r="C37" s="30"/>
      <c r="D37" s="42"/>
      <c r="E37" s="78"/>
      <c r="F37" s="78"/>
      <c r="G37" s="68" t="str">
        <f t="shared" si="1"/>
        <v/>
      </c>
      <c r="H37" s="69" t="str">
        <f t="shared" si="2"/>
        <v/>
      </c>
      <c r="I37" s="41" t="str">
        <f t="shared" si="3"/>
        <v/>
      </c>
    </row>
    <row r="38" spans="1:9" ht="22.5" customHeight="1" thickBot="1" x14ac:dyDescent="0.25">
      <c r="A38" s="36">
        <f t="shared" si="4"/>
        <v>44592</v>
      </c>
      <c r="B38" s="37">
        <f t="shared" si="0"/>
        <v>44592</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8" priority="1" stopIfTrue="1">
      <formula>WEEKDAY($A8)=1</formula>
    </cfRule>
    <cfRule type="expression" dxfId="7" priority="2" stopIfTrue="1">
      <formula>WEEKDAY($A8)=7</formula>
    </cfRule>
    <cfRule type="expression" dxfId="6" priority="3" stopIfTrue="1">
      <formula>国民の祝日($A8,0)</formula>
    </cfRule>
  </conditionalFormatting>
  <dataValidations count="1">
    <dataValidation type="list" showInputMessage="1" sqref="D8:D38" xr:uid="{00000000-0002-0000-0D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R41"/>
  <sheetViews>
    <sheetView view="pageBreakPreview" topLeftCell="A26" zoomScale="85" zoomScaleNormal="100" zoomScaleSheetLayoutView="85" workbookViewId="0">
      <selection activeCell="F38" sqref="C8:F38"/>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DATE(YEAR([0]!年度開始年月日),MONTH([0]!年度開始年月日)+10,DAY([0]!年度開始年月日))</f>
        <v>44593</v>
      </c>
      <c r="B1" s="99"/>
      <c r="C1" s="99"/>
      <c r="D1" s="43" t="s">
        <v>0</v>
      </c>
      <c r="F1" s="43"/>
      <c r="G1" s="43"/>
      <c r="H1" s="45" t="s">
        <v>61</v>
      </c>
      <c r="I1" s="46"/>
    </row>
    <row r="2" spans="1:18" ht="15" customHeight="1" x14ac:dyDescent="0.2">
      <c r="A2" s="47"/>
      <c r="B2" s="47" t="s">
        <v>8</v>
      </c>
      <c r="C2" s="48">
        <f>A1</f>
        <v>44593</v>
      </c>
      <c r="D2" s="49"/>
      <c r="F2" s="50"/>
      <c r="G2" s="50"/>
      <c r="H2" s="50"/>
      <c r="I2" s="46"/>
    </row>
    <row r="3" spans="1:18" ht="15" customHeight="1" x14ac:dyDescent="0.2">
      <c r="A3" s="47"/>
      <c r="B3" s="47" t="s">
        <v>7</v>
      </c>
      <c r="C3" s="48">
        <f>DATE(YEAR(C2),MONTH(C2)+1,1)-1</f>
        <v>44620</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44620</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44593</v>
      </c>
      <c r="B8" s="39">
        <f t="shared" ref="B8:B38" si="0">A8</f>
        <v>44593</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44594</v>
      </c>
      <c r="B9" s="35">
        <f t="shared" si="0"/>
        <v>44594</v>
      </c>
      <c r="C9" s="30"/>
      <c r="D9" s="42"/>
      <c r="E9" s="78"/>
      <c r="F9" s="78"/>
      <c r="G9" s="68" t="str">
        <f t="shared" si="1"/>
        <v/>
      </c>
      <c r="H9" s="69" t="str">
        <f t="shared" si="2"/>
        <v/>
      </c>
      <c r="I9" s="41" t="str">
        <f t="shared" si="3"/>
        <v/>
      </c>
      <c r="Q9" s="65"/>
      <c r="R9" s="47"/>
    </row>
    <row r="10" spans="1:18" ht="22.5" customHeight="1" x14ac:dyDescent="0.2">
      <c r="A10" s="31">
        <f t="shared" si="4"/>
        <v>44595</v>
      </c>
      <c r="B10" s="35">
        <f t="shared" si="0"/>
        <v>44595</v>
      </c>
      <c r="C10" s="30"/>
      <c r="D10" s="42"/>
      <c r="E10" s="78"/>
      <c r="F10" s="78"/>
      <c r="G10" s="68" t="str">
        <f t="shared" si="1"/>
        <v/>
      </c>
      <c r="H10" s="69" t="str">
        <f t="shared" si="2"/>
        <v/>
      </c>
      <c r="I10" s="41" t="str">
        <f t="shared" si="3"/>
        <v/>
      </c>
      <c r="Q10" s="65"/>
      <c r="R10" s="47"/>
    </row>
    <row r="11" spans="1:18" ht="22.5" customHeight="1" x14ac:dyDescent="0.2">
      <c r="A11" s="31">
        <f t="shared" si="4"/>
        <v>44596</v>
      </c>
      <c r="B11" s="35">
        <f t="shared" si="0"/>
        <v>44596</v>
      </c>
      <c r="C11" s="30"/>
      <c r="D11" s="42"/>
      <c r="E11" s="78"/>
      <c r="F11" s="78"/>
      <c r="G11" s="68" t="str">
        <f t="shared" si="1"/>
        <v/>
      </c>
      <c r="H11" s="69" t="str">
        <f t="shared" si="2"/>
        <v/>
      </c>
      <c r="I11" s="41" t="str">
        <f t="shared" si="3"/>
        <v/>
      </c>
      <c r="Q11" s="65"/>
      <c r="R11" s="47"/>
    </row>
    <row r="12" spans="1:18" ht="22.5" customHeight="1" x14ac:dyDescent="0.2">
      <c r="A12" s="31">
        <f t="shared" si="4"/>
        <v>44597</v>
      </c>
      <c r="B12" s="35">
        <f t="shared" si="0"/>
        <v>44597</v>
      </c>
      <c r="C12" s="30"/>
      <c r="D12" s="42"/>
      <c r="E12" s="78"/>
      <c r="F12" s="78"/>
      <c r="G12" s="68" t="str">
        <f t="shared" si="1"/>
        <v/>
      </c>
      <c r="H12" s="69" t="str">
        <f t="shared" si="2"/>
        <v/>
      </c>
      <c r="I12" s="41" t="str">
        <f t="shared" si="3"/>
        <v/>
      </c>
      <c r="Q12" s="65"/>
      <c r="R12" s="47"/>
    </row>
    <row r="13" spans="1:18" ht="22.5" customHeight="1" x14ac:dyDescent="0.2">
      <c r="A13" s="31">
        <f t="shared" si="4"/>
        <v>44598</v>
      </c>
      <c r="B13" s="35">
        <f t="shared" si="0"/>
        <v>44598</v>
      </c>
      <c r="C13" s="30"/>
      <c r="D13" s="42"/>
      <c r="E13" s="78"/>
      <c r="F13" s="78"/>
      <c r="G13" s="68" t="str">
        <f t="shared" si="1"/>
        <v/>
      </c>
      <c r="H13" s="69" t="str">
        <f t="shared" si="2"/>
        <v/>
      </c>
      <c r="I13" s="41" t="str">
        <f t="shared" si="3"/>
        <v/>
      </c>
      <c r="Q13" s="65"/>
      <c r="R13" s="47"/>
    </row>
    <row r="14" spans="1:18" ht="22.5" customHeight="1" x14ac:dyDescent="0.2">
      <c r="A14" s="31">
        <f t="shared" si="4"/>
        <v>44599</v>
      </c>
      <c r="B14" s="35">
        <f t="shared" si="0"/>
        <v>44599</v>
      </c>
      <c r="C14" s="30"/>
      <c r="D14" s="42"/>
      <c r="E14" s="78"/>
      <c r="F14" s="78"/>
      <c r="G14" s="68" t="str">
        <f t="shared" si="1"/>
        <v/>
      </c>
      <c r="H14" s="69" t="str">
        <f t="shared" si="2"/>
        <v/>
      </c>
      <c r="I14" s="41" t="str">
        <f t="shared" si="3"/>
        <v/>
      </c>
      <c r="Q14" s="65"/>
      <c r="R14" s="47"/>
    </row>
    <row r="15" spans="1:18" ht="22.5" customHeight="1" x14ac:dyDescent="0.2">
      <c r="A15" s="31">
        <f t="shared" si="4"/>
        <v>44600</v>
      </c>
      <c r="B15" s="35">
        <f t="shared" si="0"/>
        <v>44600</v>
      </c>
      <c r="C15" s="30"/>
      <c r="D15" s="42"/>
      <c r="E15" s="78"/>
      <c r="F15" s="78"/>
      <c r="G15" s="68" t="str">
        <f t="shared" si="1"/>
        <v/>
      </c>
      <c r="H15" s="69" t="str">
        <f t="shared" si="2"/>
        <v/>
      </c>
      <c r="I15" s="41" t="str">
        <f t="shared" si="3"/>
        <v/>
      </c>
      <c r="Q15" s="65"/>
      <c r="R15" s="47"/>
    </row>
    <row r="16" spans="1:18" ht="22.5" customHeight="1" x14ac:dyDescent="0.2">
      <c r="A16" s="31">
        <f t="shared" si="4"/>
        <v>44601</v>
      </c>
      <c r="B16" s="35">
        <f t="shared" si="0"/>
        <v>44601</v>
      </c>
      <c r="C16" s="30"/>
      <c r="D16" s="42"/>
      <c r="E16" s="78"/>
      <c r="F16" s="78"/>
      <c r="G16" s="68" t="str">
        <f t="shared" si="1"/>
        <v/>
      </c>
      <c r="H16" s="69" t="str">
        <f t="shared" si="2"/>
        <v/>
      </c>
      <c r="I16" s="41" t="str">
        <f t="shared" si="3"/>
        <v/>
      </c>
      <c r="Q16" s="65"/>
      <c r="R16" s="47"/>
    </row>
    <row r="17" spans="1:18" ht="22.5" customHeight="1" x14ac:dyDescent="0.2">
      <c r="A17" s="31">
        <f t="shared" si="4"/>
        <v>44602</v>
      </c>
      <c r="B17" s="35">
        <f t="shared" si="0"/>
        <v>44602</v>
      </c>
      <c r="C17" s="30"/>
      <c r="D17" s="42"/>
      <c r="E17" s="78"/>
      <c r="F17" s="78"/>
      <c r="G17" s="68" t="str">
        <f t="shared" si="1"/>
        <v/>
      </c>
      <c r="H17" s="69" t="str">
        <f t="shared" si="2"/>
        <v/>
      </c>
      <c r="I17" s="41" t="str">
        <f t="shared" si="3"/>
        <v/>
      </c>
      <c r="Q17" s="65"/>
      <c r="R17" s="47"/>
    </row>
    <row r="18" spans="1:18" ht="22.5" customHeight="1" x14ac:dyDescent="0.2">
      <c r="A18" s="31">
        <f t="shared" si="4"/>
        <v>44603</v>
      </c>
      <c r="B18" s="35">
        <f t="shared" si="0"/>
        <v>44603</v>
      </c>
      <c r="C18" s="30"/>
      <c r="D18" s="42"/>
      <c r="E18" s="78"/>
      <c r="F18" s="78"/>
      <c r="G18" s="68" t="str">
        <f t="shared" si="1"/>
        <v/>
      </c>
      <c r="H18" s="69" t="str">
        <f t="shared" si="2"/>
        <v/>
      </c>
      <c r="I18" s="41" t="str">
        <f t="shared" si="3"/>
        <v/>
      </c>
      <c r="Q18" s="65"/>
      <c r="R18" s="47"/>
    </row>
    <row r="19" spans="1:18" ht="22.5" customHeight="1" x14ac:dyDescent="0.2">
      <c r="A19" s="31">
        <f t="shared" si="4"/>
        <v>44604</v>
      </c>
      <c r="B19" s="35">
        <f t="shared" si="0"/>
        <v>44604</v>
      </c>
      <c r="C19" s="30"/>
      <c r="D19" s="42"/>
      <c r="E19" s="78"/>
      <c r="F19" s="78"/>
      <c r="G19" s="68" t="str">
        <f t="shared" si="1"/>
        <v/>
      </c>
      <c r="H19" s="69" t="str">
        <f t="shared" si="2"/>
        <v/>
      </c>
      <c r="I19" s="41" t="str">
        <f t="shared" si="3"/>
        <v/>
      </c>
      <c r="Q19" s="65"/>
      <c r="R19" s="47"/>
    </row>
    <row r="20" spans="1:18" ht="22.5" customHeight="1" x14ac:dyDescent="0.2">
      <c r="A20" s="31">
        <f t="shared" si="4"/>
        <v>44605</v>
      </c>
      <c r="B20" s="35">
        <f t="shared" si="0"/>
        <v>44605</v>
      </c>
      <c r="C20" s="30"/>
      <c r="D20" s="42"/>
      <c r="E20" s="78"/>
      <c r="F20" s="78"/>
      <c r="G20" s="68" t="str">
        <f t="shared" si="1"/>
        <v/>
      </c>
      <c r="H20" s="69" t="str">
        <f t="shared" si="2"/>
        <v/>
      </c>
      <c r="I20" s="41" t="str">
        <f t="shared" si="3"/>
        <v/>
      </c>
      <c r="Q20" s="65"/>
      <c r="R20" s="47"/>
    </row>
    <row r="21" spans="1:18" ht="22.5" customHeight="1" x14ac:dyDescent="0.2">
      <c r="A21" s="31">
        <f t="shared" si="4"/>
        <v>44606</v>
      </c>
      <c r="B21" s="35">
        <f t="shared" si="0"/>
        <v>44606</v>
      </c>
      <c r="C21" s="30"/>
      <c r="D21" s="42"/>
      <c r="E21" s="78"/>
      <c r="F21" s="78"/>
      <c r="G21" s="68" t="str">
        <f t="shared" si="1"/>
        <v/>
      </c>
      <c r="H21" s="69" t="str">
        <f t="shared" si="2"/>
        <v/>
      </c>
      <c r="I21" s="41" t="str">
        <f t="shared" si="3"/>
        <v/>
      </c>
      <c r="Q21" s="65"/>
      <c r="R21" s="47"/>
    </row>
    <row r="22" spans="1:18" ht="22.5" customHeight="1" x14ac:dyDescent="0.2">
      <c r="A22" s="31">
        <f t="shared" si="4"/>
        <v>44607</v>
      </c>
      <c r="B22" s="35">
        <f t="shared" si="0"/>
        <v>44607</v>
      </c>
      <c r="C22" s="30"/>
      <c r="D22" s="42"/>
      <c r="E22" s="78"/>
      <c r="F22" s="78"/>
      <c r="G22" s="68" t="str">
        <f t="shared" si="1"/>
        <v/>
      </c>
      <c r="H22" s="69" t="str">
        <f t="shared" si="2"/>
        <v/>
      </c>
      <c r="I22" s="41" t="str">
        <f t="shared" si="3"/>
        <v/>
      </c>
      <c r="Q22" s="65"/>
      <c r="R22" s="47"/>
    </row>
    <row r="23" spans="1:18" ht="22.5" customHeight="1" x14ac:dyDescent="0.2">
      <c r="A23" s="31">
        <f t="shared" si="4"/>
        <v>44608</v>
      </c>
      <c r="B23" s="35">
        <f t="shared" si="0"/>
        <v>44608</v>
      </c>
      <c r="C23" s="30"/>
      <c r="D23" s="42"/>
      <c r="E23" s="78"/>
      <c r="F23" s="78"/>
      <c r="G23" s="68" t="str">
        <f t="shared" si="1"/>
        <v/>
      </c>
      <c r="H23" s="69" t="str">
        <f t="shared" si="2"/>
        <v/>
      </c>
      <c r="I23" s="41" t="str">
        <f t="shared" si="3"/>
        <v/>
      </c>
      <c r="Q23" s="65"/>
      <c r="R23" s="47"/>
    </row>
    <row r="24" spans="1:18" ht="22.5" customHeight="1" x14ac:dyDescent="0.2">
      <c r="A24" s="31">
        <f t="shared" si="4"/>
        <v>44609</v>
      </c>
      <c r="B24" s="35">
        <f t="shared" si="0"/>
        <v>44609</v>
      </c>
      <c r="C24" s="30"/>
      <c r="D24" s="42"/>
      <c r="E24" s="78"/>
      <c r="F24" s="78"/>
      <c r="G24" s="68" t="str">
        <f t="shared" si="1"/>
        <v/>
      </c>
      <c r="H24" s="69" t="str">
        <f t="shared" si="2"/>
        <v/>
      </c>
      <c r="I24" s="41" t="str">
        <f t="shared" si="3"/>
        <v/>
      </c>
      <c r="Q24" s="65"/>
      <c r="R24" s="47"/>
    </row>
    <row r="25" spans="1:18" ht="22.5" customHeight="1" x14ac:dyDescent="0.2">
      <c r="A25" s="31">
        <f t="shared" si="4"/>
        <v>44610</v>
      </c>
      <c r="B25" s="35">
        <f t="shared" si="0"/>
        <v>44610</v>
      </c>
      <c r="C25" s="30"/>
      <c r="D25" s="42"/>
      <c r="E25" s="78"/>
      <c r="F25" s="78"/>
      <c r="G25" s="68" t="str">
        <f t="shared" si="1"/>
        <v/>
      </c>
      <c r="H25" s="69" t="str">
        <f t="shared" si="2"/>
        <v/>
      </c>
      <c r="I25" s="41" t="str">
        <f t="shared" si="3"/>
        <v/>
      </c>
      <c r="Q25" s="65"/>
      <c r="R25" s="47"/>
    </row>
    <row r="26" spans="1:18" ht="22.5" customHeight="1" x14ac:dyDescent="0.2">
      <c r="A26" s="31">
        <f t="shared" si="4"/>
        <v>44611</v>
      </c>
      <c r="B26" s="35">
        <f t="shared" si="0"/>
        <v>44611</v>
      </c>
      <c r="C26" s="30"/>
      <c r="D26" s="42"/>
      <c r="E26" s="78"/>
      <c r="F26" s="78"/>
      <c r="G26" s="68" t="str">
        <f t="shared" si="1"/>
        <v/>
      </c>
      <c r="H26" s="69" t="str">
        <f t="shared" si="2"/>
        <v/>
      </c>
      <c r="I26" s="41" t="str">
        <f t="shared" si="3"/>
        <v/>
      </c>
      <c r="Q26" s="65"/>
      <c r="R26" s="47"/>
    </row>
    <row r="27" spans="1:18" ht="22.5" customHeight="1" x14ac:dyDescent="0.2">
      <c r="A27" s="31">
        <f t="shared" si="4"/>
        <v>44612</v>
      </c>
      <c r="B27" s="35">
        <f t="shared" si="0"/>
        <v>44612</v>
      </c>
      <c r="C27" s="30"/>
      <c r="D27" s="42"/>
      <c r="E27" s="78"/>
      <c r="F27" s="78"/>
      <c r="G27" s="68" t="str">
        <f t="shared" si="1"/>
        <v/>
      </c>
      <c r="H27" s="69" t="str">
        <f t="shared" si="2"/>
        <v/>
      </c>
      <c r="I27" s="41" t="str">
        <f t="shared" si="3"/>
        <v/>
      </c>
      <c r="Q27" s="65"/>
      <c r="R27" s="47"/>
    </row>
    <row r="28" spans="1:18" ht="22.5" customHeight="1" x14ac:dyDescent="0.2">
      <c r="A28" s="31">
        <f t="shared" si="4"/>
        <v>44613</v>
      </c>
      <c r="B28" s="35">
        <f t="shared" si="0"/>
        <v>44613</v>
      </c>
      <c r="C28" s="30"/>
      <c r="D28" s="42"/>
      <c r="E28" s="78"/>
      <c r="F28" s="78"/>
      <c r="G28" s="68" t="str">
        <f t="shared" si="1"/>
        <v/>
      </c>
      <c r="H28" s="69" t="str">
        <f t="shared" si="2"/>
        <v/>
      </c>
      <c r="I28" s="41" t="str">
        <f t="shared" si="3"/>
        <v/>
      </c>
      <c r="Q28" s="65"/>
      <c r="R28" s="47"/>
    </row>
    <row r="29" spans="1:18" ht="22.5" customHeight="1" x14ac:dyDescent="0.2">
      <c r="A29" s="31">
        <f t="shared" si="4"/>
        <v>44614</v>
      </c>
      <c r="B29" s="35">
        <f t="shared" si="0"/>
        <v>44614</v>
      </c>
      <c r="C29" s="30"/>
      <c r="D29" s="42"/>
      <c r="E29" s="78"/>
      <c r="F29" s="78"/>
      <c r="G29" s="68" t="str">
        <f t="shared" si="1"/>
        <v/>
      </c>
      <c r="H29" s="69" t="str">
        <f t="shared" si="2"/>
        <v/>
      </c>
      <c r="I29" s="41" t="str">
        <f t="shared" si="3"/>
        <v/>
      </c>
    </row>
    <row r="30" spans="1:18" ht="22.5" customHeight="1" x14ac:dyDescent="0.2">
      <c r="A30" s="31">
        <f t="shared" si="4"/>
        <v>44615</v>
      </c>
      <c r="B30" s="35">
        <f t="shared" si="0"/>
        <v>44615</v>
      </c>
      <c r="C30" s="30"/>
      <c r="D30" s="42"/>
      <c r="E30" s="78"/>
      <c r="F30" s="78"/>
      <c r="G30" s="68" t="str">
        <f t="shared" si="1"/>
        <v/>
      </c>
      <c r="H30" s="69" t="str">
        <f t="shared" si="2"/>
        <v/>
      </c>
      <c r="I30" s="41" t="str">
        <f t="shared" si="3"/>
        <v/>
      </c>
    </row>
    <row r="31" spans="1:18" ht="22.5" customHeight="1" x14ac:dyDescent="0.2">
      <c r="A31" s="31">
        <f t="shared" si="4"/>
        <v>44616</v>
      </c>
      <c r="B31" s="35">
        <f t="shared" si="0"/>
        <v>44616</v>
      </c>
      <c r="C31" s="30"/>
      <c r="D31" s="42"/>
      <c r="E31" s="78"/>
      <c r="F31" s="78"/>
      <c r="G31" s="68" t="str">
        <f t="shared" si="1"/>
        <v/>
      </c>
      <c r="H31" s="69" t="str">
        <f t="shared" si="2"/>
        <v/>
      </c>
      <c r="I31" s="41" t="str">
        <f t="shared" si="3"/>
        <v/>
      </c>
    </row>
    <row r="32" spans="1:18" ht="22.5" customHeight="1" x14ac:dyDescent="0.2">
      <c r="A32" s="31">
        <f t="shared" si="4"/>
        <v>44617</v>
      </c>
      <c r="B32" s="35">
        <f t="shared" si="0"/>
        <v>44617</v>
      </c>
      <c r="C32" s="30"/>
      <c r="D32" s="42"/>
      <c r="E32" s="78"/>
      <c r="F32" s="78"/>
      <c r="G32" s="68" t="str">
        <f t="shared" si="1"/>
        <v/>
      </c>
      <c r="H32" s="69" t="str">
        <f t="shared" si="2"/>
        <v/>
      </c>
      <c r="I32" s="41" t="str">
        <f t="shared" si="3"/>
        <v/>
      </c>
    </row>
    <row r="33" spans="1:9" ht="22.5" customHeight="1" x14ac:dyDescent="0.2">
      <c r="A33" s="31">
        <f t="shared" si="4"/>
        <v>44618</v>
      </c>
      <c r="B33" s="35">
        <f t="shared" si="0"/>
        <v>44618</v>
      </c>
      <c r="C33" s="30"/>
      <c r="D33" s="42"/>
      <c r="E33" s="78"/>
      <c r="F33" s="78"/>
      <c r="G33" s="68" t="str">
        <f t="shared" si="1"/>
        <v/>
      </c>
      <c r="H33" s="69" t="str">
        <f t="shared" si="2"/>
        <v/>
      </c>
      <c r="I33" s="41" t="str">
        <f t="shared" si="3"/>
        <v/>
      </c>
    </row>
    <row r="34" spans="1:9" ht="22.5" customHeight="1" x14ac:dyDescent="0.2">
      <c r="A34" s="31">
        <f t="shared" si="4"/>
        <v>44619</v>
      </c>
      <c r="B34" s="35">
        <f t="shared" si="0"/>
        <v>44619</v>
      </c>
      <c r="C34" s="30"/>
      <c r="D34" s="42"/>
      <c r="E34" s="78"/>
      <c r="F34" s="78"/>
      <c r="G34" s="68" t="str">
        <f t="shared" si="1"/>
        <v/>
      </c>
      <c r="H34" s="69" t="str">
        <f t="shared" si="2"/>
        <v/>
      </c>
      <c r="I34" s="41" t="str">
        <f t="shared" si="3"/>
        <v/>
      </c>
    </row>
    <row r="35" spans="1:9" ht="22.5" customHeight="1" x14ac:dyDescent="0.2">
      <c r="A35" s="31">
        <f t="shared" si="4"/>
        <v>44620</v>
      </c>
      <c r="B35" s="35">
        <f t="shared" si="0"/>
        <v>44620</v>
      </c>
      <c r="C35" s="30"/>
      <c r="D35" s="42"/>
      <c r="E35" s="78"/>
      <c r="F35" s="78"/>
      <c r="G35" s="68" t="str">
        <f t="shared" si="1"/>
        <v/>
      </c>
      <c r="H35" s="69" t="str">
        <f t="shared" si="2"/>
        <v/>
      </c>
      <c r="I35" s="41" t="str">
        <f t="shared" si="3"/>
        <v/>
      </c>
    </row>
    <row r="36" spans="1:9" ht="22.5" customHeight="1" x14ac:dyDescent="0.2">
      <c r="A36" s="31">
        <f t="shared" si="4"/>
        <v>44621</v>
      </c>
      <c r="B36" s="35">
        <f t="shared" si="0"/>
        <v>44621</v>
      </c>
      <c r="C36" s="30"/>
      <c r="D36" s="42"/>
      <c r="E36" s="78"/>
      <c r="F36" s="78"/>
      <c r="G36" s="68" t="str">
        <f t="shared" si="1"/>
        <v/>
      </c>
      <c r="H36" s="69" t="str">
        <f t="shared" si="2"/>
        <v/>
      </c>
      <c r="I36" s="41" t="str">
        <f t="shared" si="3"/>
        <v/>
      </c>
    </row>
    <row r="37" spans="1:9" ht="22.5" customHeight="1" x14ac:dyDescent="0.2">
      <c r="A37" s="31">
        <f t="shared" si="4"/>
        <v>44622</v>
      </c>
      <c r="B37" s="35">
        <f t="shared" si="0"/>
        <v>44622</v>
      </c>
      <c r="C37" s="30"/>
      <c r="D37" s="42"/>
      <c r="E37" s="78"/>
      <c r="F37" s="78"/>
      <c r="G37" s="68" t="str">
        <f t="shared" si="1"/>
        <v/>
      </c>
      <c r="H37" s="69" t="str">
        <f t="shared" si="2"/>
        <v/>
      </c>
      <c r="I37" s="41" t="str">
        <f t="shared" si="3"/>
        <v/>
      </c>
    </row>
    <row r="38" spans="1:9" ht="22.5" customHeight="1" thickBot="1" x14ac:dyDescent="0.25">
      <c r="A38" s="36">
        <f t="shared" si="4"/>
        <v>44623</v>
      </c>
      <c r="B38" s="37">
        <f t="shared" si="0"/>
        <v>44623</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5" priority="1" stopIfTrue="1">
      <formula>WEEKDAY($A8)=1</formula>
    </cfRule>
    <cfRule type="expression" dxfId="4" priority="2" stopIfTrue="1">
      <formula>WEEKDAY($A8)=7</formula>
    </cfRule>
    <cfRule type="expression" dxfId="3" priority="3" stopIfTrue="1">
      <formula>国民の祝日($A8,0)</formula>
    </cfRule>
  </conditionalFormatting>
  <dataValidations count="1">
    <dataValidation type="list" showInputMessage="1" sqref="D8:D38" xr:uid="{00000000-0002-0000-0E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R41"/>
  <sheetViews>
    <sheetView view="pageBreakPreview" topLeftCell="A26" zoomScale="85" zoomScaleNormal="100" zoomScaleSheetLayoutView="85" workbookViewId="0">
      <selection activeCell="J53" sqref="J53"/>
    </sheetView>
  </sheetViews>
  <sheetFormatPr defaultColWidth="9" defaultRowHeight="13.2" x14ac:dyDescent="0.2"/>
  <cols>
    <col min="1" max="1" width="7.6640625" style="46" bestFit="1" customWidth="1"/>
    <col min="2" max="2" width="7.6640625" style="60" bestFit="1" customWidth="1"/>
    <col min="3" max="3" width="27.6640625" style="44" customWidth="1"/>
    <col min="4" max="4" width="17.33203125" style="44" customWidth="1"/>
    <col min="5" max="9" width="9.6640625" style="44" customWidth="1"/>
    <col min="10" max="10" width="14.21875" style="44" customWidth="1"/>
    <col min="11" max="14" width="9.44140625" style="44" customWidth="1"/>
    <col min="15" max="16384" width="9" style="44"/>
  </cols>
  <sheetData>
    <row r="1" spans="1:18" ht="23.4" x14ac:dyDescent="0.2">
      <c r="A1" s="98">
        <f>DATE(YEAR([0]!年度開始年月日),MONTH([0]!年度開始年月日)+11,DAY([0]!年度開始年月日))</f>
        <v>44621</v>
      </c>
      <c r="B1" s="99"/>
      <c r="C1" s="99"/>
      <c r="D1" s="43" t="s">
        <v>0</v>
      </c>
      <c r="F1" s="43"/>
      <c r="G1" s="43"/>
      <c r="H1" s="45" t="s">
        <v>61</v>
      </c>
      <c r="I1" s="46"/>
    </row>
    <row r="2" spans="1:18" ht="15" customHeight="1" x14ac:dyDescent="0.2">
      <c r="A2" s="47"/>
      <c r="B2" s="47" t="s">
        <v>8</v>
      </c>
      <c r="C2" s="48">
        <f>A1</f>
        <v>44621</v>
      </c>
      <c r="D2" s="49"/>
      <c r="F2" s="50"/>
      <c r="G2" s="50"/>
      <c r="H2" s="50"/>
      <c r="I2" s="46"/>
    </row>
    <row r="3" spans="1:18" ht="15" customHeight="1" x14ac:dyDescent="0.2">
      <c r="A3" s="47"/>
      <c r="B3" s="47" t="s">
        <v>7</v>
      </c>
      <c r="C3" s="48">
        <f>DATE(YEAR(C2),MONTH(C2)+1,1)-1</f>
        <v>44651</v>
      </c>
      <c r="D3" s="49"/>
      <c r="F3" s="50"/>
      <c r="G3" s="50"/>
      <c r="H3" s="50"/>
      <c r="I3" s="46"/>
    </row>
    <row r="4" spans="1:18" ht="15" customHeight="1" x14ac:dyDescent="0.2">
      <c r="A4" s="51" t="s">
        <v>62</v>
      </c>
      <c r="B4" s="52" t="s">
        <v>9</v>
      </c>
      <c r="C4" s="52" t="s">
        <v>10</v>
      </c>
      <c r="D4" s="51"/>
      <c r="E4" s="51"/>
      <c r="F4" s="51"/>
      <c r="G4" s="51"/>
      <c r="H4" s="52" t="s">
        <v>11</v>
      </c>
      <c r="I4" s="52" t="s">
        <v>12</v>
      </c>
    </row>
    <row r="5" spans="1:18" ht="43.5" customHeight="1" x14ac:dyDescent="0.2">
      <c r="A5" s="53"/>
      <c r="B5" s="54" t="str">
        <f>[0]!社員番号</f>
        <v>00249</v>
      </c>
      <c r="C5" s="55" t="str">
        <f>[0]!名前</f>
        <v>大野原　信</v>
      </c>
      <c r="D5" s="56"/>
      <c r="E5" s="57"/>
      <c r="F5" s="58"/>
      <c r="G5" s="58"/>
      <c r="H5" s="59"/>
      <c r="I5" s="55"/>
    </row>
    <row r="6" spans="1:18" ht="21" customHeight="1" thickBot="1" x14ac:dyDescent="0.25">
      <c r="G6" s="132">
        <f>C3</f>
        <v>44651</v>
      </c>
      <c r="H6" s="132"/>
      <c r="I6" s="132"/>
    </row>
    <row r="7" spans="1:18" s="47" customFormat="1" ht="22.5" customHeight="1" x14ac:dyDescent="0.2">
      <c r="A7" s="100" t="s">
        <v>4</v>
      </c>
      <c r="B7" s="101"/>
      <c r="C7" s="61" t="s">
        <v>5</v>
      </c>
      <c r="D7" s="62" t="s">
        <v>13</v>
      </c>
      <c r="E7" s="62" t="s">
        <v>1</v>
      </c>
      <c r="F7" s="62" t="s">
        <v>2</v>
      </c>
      <c r="G7" s="63" t="s">
        <v>64</v>
      </c>
      <c r="H7" s="63" t="s">
        <v>3</v>
      </c>
      <c r="I7" s="64" t="s">
        <v>65</v>
      </c>
      <c r="Q7" s="65"/>
    </row>
    <row r="8" spans="1:18" ht="22.5" customHeight="1" x14ac:dyDescent="0.2">
      <c r="A8" s="38">
        <f>IF($C$2,$C$2,"")</f>
        <v>44621</v>
      </c>
      <c r="B8" s="39">
        <f t="shared" ref="B8:B38" si="0">A8</f>
        <v>44621</v>
      </c>
      <c r="C8" s="30"/>
      <c r="D8" s="42"/>
      <c r="E8" s="78"/>
      <c r="F8" s="78"/>
      <c r="G8" s="68" t="str">
        <f t="shared" ref="G8:G38" si="1">IF(F8&lt;&gt;"",(FLOOR(F8,"0:10")-CEILING(E8,"0:30"))*24,"")</f>
        <v/>
      </c>
      <c r="H8" s="69" t="str">
        <f t="shared" ref="H8:H38" si="2">IF(F8&lt;&gt;"",G8-休憩時間(G8),"")</f>
        <v/>
      </c>
      <c r="I8" s="41" t="str">
        <f t="shared" ref="I8:I38" si="3">IF(F8&lt;&gt;"",IF(H8-7.5&lt;0,0,H8-7.5),"")</f>
        <v/>
      </c>
      <c r="Q8" s="65"/>
      <c r="R8" s="47"/>
    </row>
    <row r="9" spans="1:18" ht="22.5" customHeight="1" x14ac:dyDescent="0.2">
      <c r="A9" s="31">
        <f t="shared" ref="A9:A38" si="4">IF($C$2,A8+1,"")</f>
        <v>44622</v>
      </c>
      <c r="B9" s="35">
        <f t="shared" si="0"/>
        <v>44622</v>
      </c>
      <c r="C9" s="30"/>
      <c r="D9" s="42"/>
      <c r="E9" s="78"/>
      <c r="F9" s="78"/>
      <c r="G9" s="68" t="str">
        <f t="shared" si="1"/>
        <v/>
      </c>
      <c r="H9" s="69" t="str">
        <f t="shared" si="2"/>
        <v/>
      </c>
      <c r="I9" s="41" t="str">
        <f t="shared" si="3"/>
        <v/>
      </c>
      <c r="Q9" s="65"/>
      <c r="R9" s="47"/>
    </row>
    <row r="10" spans="1:18" ht="22.5" customHeight="1" x14ac:dyDescent="0.2">
      <c r="A10" s="31">
        <f t="shared" si="4"/>
        <v>44623</v>
      </c>
      <c r="B10" s="35">
        <f t="shared" si="0"/>
        <v>44623</v>
      </c>
      <c r="C10" s="30"/>
      <c r="D10" s="42"/>
      <c r="E10" s="78"/>
      <c r="F10" s="78"/>
      <c r="G10" s="68" t="str">
        <f t="shared" si="1"/>
        <v/>
      </c>
      <c r="H10" s="69" t="str">
        <f t="shared" si="2"/>
        <v/>
      </c>
      <c r="I10" s="41" t="str">
        <f t="shared" si="3"/>
        <v/>
      </c>
      <c r="Q10" s="65"/>
      <c r="R10" s="47"/>
    </row>
    <row r="11" spans="1:18" ht="22.5" customHeight="1" x14ac:dyDescent="0.2">
      <c r="A11" s="31">
        <f t="shared" si="4"/>
        <v>44624</v>
      </c>
      <c r="B11" s="35">
        <f t="shared" si="0"/>
        <v>44624</v>
      </c>
      <c r="C11" s="30"/>
      <c r="D11" s="42"/>
      <c r="E11" s="78"/>
      <c r="F11" s="78"/>
      <c r="G11" s="68" t="str">
        <f t="shared" si="1"/>
        <v/>
      </c>
      <c r="H11" s="69" t="str">
        <f t="shared" si="2"/>
        <v/>
      </c>
      <c r="I11" s="41" t="str">
        <f t="shared" si="3"/>
        <v/>
      </c>
      <c r="Q11" s="65"/>
      <c r="R11" s="47"/>
    </row>
    <row r="12" spans="1:18" ht="22.5" customHeight="1" x14ac:dyDescent="0.2">
      <c r="A12" s="31">
        <f t="shared" si="4"/>
        <v>44625</v>
      </c>
      <c r="B12" s="35">
        <f t="shared" si="0"/>
        <v>44625</v>
      </c>
      <c r="C12" s="30"/>
      <c r="D12" s="42"/>
      <c r="E12" s="78"/>
      <c r="F12" s="78"/>
      <c r="G12" s="68" t="str">
        <f t="shared" si="1"/>
        <v/>
      </c>
      <c r="H12" s="69" t="str">
        <f t="shared" si="2"/>
        <v/>
      </c>
      <c r="I12" s="41" t="str">
        <f t="shared" si="3"/>
        <v/>
      </c>
      <c r="Q12" s="65"/>
      <c r="R12" s="47"/>
    </row>
    <row r="13" spans="1:18" ht="22.5" customHeight="1" x14ac:dyDescent="0.2">
      <c r="A13" s="31">
        <f t="shared" si="4"/>
        <v>44626</v>
      </c>
      <c r="B13" s="35">
        <f t="shared" si="0"/>
        <v>44626</v>
      </c>
      <c r="C13" s="30"/>
      <c r="D13" s="42"/>
      <c r="E13" s="78"/>
      <c r="F13" s="78"/>
      <c r="G13" s="68" t="str">
        <f t="shared" si="1"/>
        <v/>
      </c>
      <c r="H13" s="69" t="str">
        <f t="shared" si="2"/>
        <v/>
      </c>
      <c r="I13" s="41" t="str">
        <f t="shared" si="3"/>
        <v/>
      </c>
      <c r="Q13" s="65"/>
      <c r="R13" s="47"/>
    </row>
    <row r="14" spans="1:18" ht="22.5" customHeight="1" x14ac:dyDescent="0.2">
      <c r="A14" s="31">
        <f t="shared" si="4"/>
        <v>44627</v>
      </c>
      <c r="B14" s="35">
        <f t="shared" si="0"/>
        <v>44627</v>
      </c>
      <c r="C14" s="30"/>
      <c r="D14" s="42"/>
      <c r="E14" s="78"/>
      <c r="F14" s="78"/>
      <c r="G14" s="68" t="str">
        <f t="shared" si="1"/>
        <v/>
      </c>
      <c r="H14" s="69" t="str">
        <f t="shared" si="2"/>
        <v/>
      </c>
      <c r="I14" s="41" t="str">
        <f t="shared" si="3"/>
        <v/>
      </c>
      <c r="Q14" s="65"/>
      <c r="R14" s="47"/>
    </row>
    <row r="15" spans="1:18" ht="22.5" customHeight="1" x14ac:dyDescent="0.2">
      <c r="A15" s="31">
        <f t="shared" si="4"/>
        <v>44628</v>
      </c>
      <c r="B15" s="35">
        <f t="shared" si="0"/>
        <v>44628</v>
      </c>
      <c r="C15" s="30"/>
      <c r="D15" s="42"/>
      <c r="E15" s="78"/>
      <c r="F15" s="78"/>
      <c r="G15" s="68" t="str">
        <f t="shared" si="1"/>
        <v/>
      </c>
      <c r="H15" s="69" t="str">
        <f t="shared" si="2"/>
        <v/>
      </c>
      <c r="I15" s="41" t="str">
        <f t="shared" si="3"/>
        <v/>
      </c>
      <c r="Q15" s="65"/>
      <c r="R15" s="47"/>
    </row>
    <row r="16" spans="1:18" ht="22.5" customHeight="1" x14ac:dyDescent="0.2">
      <c r="A16" s="31">
        <f t="shared" si="4"/>
        <v>44629</v>
      </c>
      <c r="B16" s="35">
        <f t="shared" si="0"/>
        <v>44629</v>
      </c>
      <c r="C16" s="30"/>
      <c r="D16" s="42"/>
      <c r="E16" s="78"/>
      <c r="F16" s="78"/>
      <c r="G16" s="68" t="str">
        <f t="shared" si="1"/>
        <v/>
      </c>
      <c r="H16" s="69" t="str">
        <f t="shared" si="2"/>
        <v/>
      </c>
      <c r="I16" s="41" t="str">
        <f t="shared" si="3"/>
        <v/>
      </c>
      <c r="Q16" s="65"/>
      <c r="R16" s="47"/>
    </row>
    <row r="17" spans="1:18" ht="22.5" customHeight="1" x14ac:dyDescent="0.2">
      <c r="A17" s="31">
        <f t="shared" si="4"/>
        <v>44630</v>
      </c>
      <c r="B17" s="35">
        <f t="shared" si="0"/>
        <v>44630</v>
      </c>
      <c r="C17" s="30"/>
      <c r="D17" s="42"/>
      <c r="E17" s="78"/>
      <c r="F17" s="78"/>
      <c r="G17" s="68" t="str">
        <f t="shared" si="1"/>
        <v/>
      </c>
      <c r="H17" s="69" t="str">
        <f t="shared" si="2"/>
        <v/>
      </c>
      <c r="I17" s="41" t="str">
        <f t="shared" si="3"/>
        <v/>
      </c>
      <c r="Q17" s="65"/>
      <c r="R17" s="47"/>
    </row>
    <row r="18" spans="1:18" ht="22.5" customHeight="1" x14ac:dyDescent="0.2">
      <c r="A18" s="31">
        <f t="shared" si="4"/>
        <v>44631</v>
      </c>
      <c r="B18" s="35">
        <f t="shared" si="0"/>
        <v>44631</v>
      </c>
      <c r="C18" s="30"/>
      <c r="D18" s="42"/>
      <c r="E18" s="78"/>
      <c r="F18" s="78"/>
      <c r="G18" s="68" t="str">
        <f t="shared" si="1"/>
        <v/>
      </c>
      <c r="H18" s="69" t="str">
        <f t="shared" si="2"/>
        <v/>
      </c>
      <c r="I18" s="41" t="str">
        <f t="shared" si="3"/>
        <v/>
      </c>
      <c r="Q18" s="65"/>
      <c r="R18" s="47"/>
    </row>
    <row r="19" spans="1:18" ht="22.5" customHeight="1" x14ac:dyDescent="0.2">
      <c r="A19" s="31">
        <f t="shared" si="4"/>
        <v>44632</v>
      </c>
      <c r="B19" s="35">
        <f t="shared" si="0"/>
        <v>44632</v>
      </c>
      <c r="C19" s="30"/>
      <c r="D19" s="42"/>
      <c r="E19" s="78"/>
      <c r="F19" s="78"/>
      <c r="G19" s="68" t="str">
        <f t="shared" si="1"/>
        <v/>
      </c>
      <c r="H19" s="69" t="str">
        <f t="shared" si="2"/>
        <v/>
      </c>
      <c r="I19" s="41" t="str">
        <f t="shared" si="3"/>
        <v/>
      </c>
      <c r="Q19" s="65"/>
      <c r="R19" s="47"/>
    </row>
    <row r="20" spans="1:18" ht="22.5" customHeight="1" x14ac:dyDescent="0.2">
      <c r="A20" s="31">
        <f t="shared" si="4"/>
        <v>44633</v>
      </c>
      <c r="B20" s="35">
        <f t="shared" si="0"/>
        <v>44633</v>
      </c>
      <c r="C20" s="30"/>
      <c r="D20" s="42"/>
      <c r="E20" s="78"/>
      <c r="F20" s="78"/>
      <c r="G20" s="68" t="str">
        <f t="shared" si="1"/>
        <v/>
      </c>
      <c r="H20" s="69" t="str">
        <f t="shared" si="2"/>
        <v/>
      </c>
      <c r="I20" s="41" t="str">
        <f t="shared" si="3"/>
        <v/>
      </c>
      <c r="Q20" s="65"/>
      <c r="R20" s="47"/>
    </row>
    <row r="21" spans="1:18" ht="22.5" customHeight="1" x14ac:dyDescent="0.2">
      <c r="A21" s="31">
        <f t="shared" si="4"/>
        <v>44634</v>
      </c>
      <c r="B21" s="35">
        <f t="shared" si="0"/>
        <v>44634</v>
      </c>
      <c r="C21" s="30"/>
      <c r="D21" s="42"/>
      <c r="E21" s="78"/>
      <c r="F21" s="78"/>
      <c r="G21" s="68" t="str">
        <f t="shared" si="1"/>
        <v/>
      </c>
      <c r="H21" s="69" t="str">
        <f t="shared" si="2"/>
        <v/>
      </c>
      <c r="I21" s="41" t="str">
        <f t="shared" si="3"/>
        <v/>
      </c>
      <c r="Q21" s="65"/>
      <c r="R21" s="47"/>
    </row>
    <row r="22" spans="1:18" ht="22.5" customHeight="1" x14ac:dyDescent="0.2">
      <c r="A22" s="31">
        <f t="shared" si="4"/>
        <v>44635</v>
      </c>
      <c r="B22" s="35">
        <f t="shared" si="0"/>
        <v>44635</v>
      </c>
      <c r="C22" s="30"/>
      <c r="D22" s="42"/>
      <c r="E22" s="78"/>
      <c r="F22" s="78"/>
      <c r="G22" s="68" t="str">
        <f t="shared" si="1"/>
        <v/>
      </c>
      <c r="H22" s="69" t="str">
        <f t="shared" si="2"/>
        <v/>
      </c>
      <c r="I22" s="41" t="str">
        <f t="shared" si="3"/>
        <v/>
      </c>
      <c r="Q22" s="65"/>
      <c r="R22" s="47"/>
    </row>
    <row r="23" spans="1:18" ht="22.5" customHeight="1" x14ac:dyDescent="0.2">
      <c r="A23" s="31">
        <f t="shared" si="4"/>
        <v>44636</v>
      </c>
      <c r="B23" s="35">
        <f t="shared" si="0"/>
        <v>44636</v>
      </c>
      <c r="C23" s="30"/>
      <c r="D23" s="42"/>
      <c r="E23" s="78"/>
      <c r="F23" s="78"/>
      <c r="G23" s="68" t="str">
        <f t="shared" si="1"/>
        <v/>
      </c>
      <c r="H23" s="69" t="str">
        <f t="shared" si="2"/>
        <v/>
      </c>
      <c r="I23" s="41" t="str">
        <f t="shared" si="3"/>
        <v/>
      </c>
      <c r="Q23" s="65"/>
      <c r="R23" s="47"/>
    </row>
    <row r="24" spans="1:18" ht="22.5" customHeight="1" x14ac:dyDescent="0.2">
      <c r="A24" s="31">
        <f t="shared" si="4"/>
        <v>44637</v>
      </c>
      <c r="B24" s="35">
        <f t="shared" si="0"/>
        <v>44637</v>
      </c>
      <c r="C24" s="30"/>
      <c r="D24" s="42"/>
      <c r="E24" s="78"/>
      <c r="F24" s="78"/>
      <c r="G24" s="68" t="str">
        <f t="shared" si="1"/>
        <v/>
      </c>
      <c r="H24" s="69" t="str">
        <f t="shared" si="2"/>
        <v/>
      </c>
      <c r="I24" s="41" t="str">
        <f t="shared" si="3"/>
        <v/>
      </c>
      <c r="Q24" s="65"/>
      <c r="R24" s="47"/>
    </row>
    <row r="25" spans="1:18" ht="22.5" customHeight="1" x14ac:dyDescent="0.2">
      <c r="A25" s="31">
        <f t="shared" si="4"/>
        <v>44638</v>
      </c>
      <c r="B25" s="35">
        <f t="shared" si="0"/>
        <v>44638</v>
      </c>
      <c r="C25" s="30"/>
      <c r="D25" s="42"/>
      <c r="E25" s="78"/>
      <c r="F25" s="78"/>
      <c r="G25" s="68" t="str">
        <f t="shared" si="1"/>
        <v/>
      </c>
      <c r="H25" s="69" t="str">
        <f t="shared" si="2"/>
        <v/>
      </c>
      <c r="I25" s="41" t="str">
        <f t="shared" si="3"/>
        <v/>
      </c>
      <c r="Q25" s="65"/>
      <c r="R25" s="47"/>
    </row>
    <row r="26" spans="1:18" ht="22.5" customHeight="1" x14ac:dyDescent="0.2">
      <c r="A26" s="31">
        <f t="shared" si="4"/>
        <v>44639</v>
      </c>
      <c r="B26" s="35">
        <f t="shared" si="0"/>
        <v>44639</v>
      </c>
      <c r="C26" s="30"/>
      <c r="D26" s="42"/>
      <c r="E26" s="78"/>
      <c r="F26" s="78"/>
      <c r="G26" s="68" t="str">
        <f t="shared" si="1"/>
        <v/>
      </c>
      <c r="H26" s="69" t="str">
        <f t="shared" si="2"/>
        <v/>
      </c>
      <c r="I26" s="41" t="str">
        <f t="shared" si="3"/>
        <v/>
      </c>
      <c r="Q26" s="65"/>
      <c r="R26" s="47"/>
    </row>
    <row r="27" spans="1:18" ht="22.5" customHeight="1" x14ac:dyDescent="0.2">
      <c r="A27" s="31">
        <f t="shared" si="4"/>
        <v>44640</v>
      </c>
      <c r="B27" s="35">
        <f t="shared" si="0"/>
        <v>44640</v>
      </c>
      <c r="C27" s="30"/>
      <c r="D27" s="42"/>
      <c r="E27" s="78"/>
      <c r="F27" s="78"/>
      <c r="G27" s="68" t="str">
        <f t="shared" si="1"/>
        <v/>
      </c>
      <c r="H27" s="69" t="str">
        <f t="shared" si="2"/>
        <v/>
      </c>
      <c r="I27" s="41" t="str">
        <f t="shared" si="3"/>
        <v/>
      </c>
      <c r="Q27" s="65"/>
      <c r="R27" s="47"/>
    </row>
    <row r="28" spans="1:18" ht="22.5" customHeight="1" x14ac:dyDescent="0.2">
      <c r="A28" s="31">
        <f t="shared" si="4"/>
        <v>44641</v>
      </c>
      <c r="B28" s="35">
        <f t="shared" si="0"/>
        <v>44641</v>
      </c>
      <c r="C28" s="30"/>
      <c r="D28" s="42"/>
      <c r="E28" s="78"/>
      <c r="F28" s="78"/>
      <c r="G28" s="68" t="str">
        <f t="shared" si="1"/>
        <v/>
      </c>
      <c r="H28" s="69" t="str">
        <f t="shared" si="2"/>
        <v/>
      </c>
      <c r="I28" s="41" t="str">
        <f t="shared" si="3"/>
        <v/>
      </c>
      <c r="Q28" s="65"/>
      <c r="R28" s="47"/>
    </row>
    <row r="29" spans="1:18" ht="22.5" customHeight="1" x14ac:dyDescent="0.2">
      <c r="A29" s="31">
        <f t="shared" si="4"/>
        <v>44642</v>
      </c>
      <c r="B29" s="35">
        <f t="shared" si="0"/>
        <v>44642</v>
      </c>
      <c r="C29" s="30"/>
      <c r="D29" s="42"/>
      <c r="E29" s="78"/>
      <c r="F29" s="78"/>
      <c r="G29" s="68" t="str">
        <f t="shared" si="1"/>
        <v/>
      </c>
      <c r="H29" s="69" t="str">
        <f t="shared" si="2"/>
        <v/>
      </c>
      <c r="I29" s="41" t="str">
        <f t="shared" si="3"/>
        <v/>
      </c>
    </row>
    <row r="30" spans="1:18" ht="22.5" customHeight="1" x14ac:dyDescent="0.2">
      <c r="A30" s="31">
        <f t="shared" si="4"/>
        <v>44643</v>
      </c>
      <c r="B30" s="35">
        <f t="shared" si="0"/>
        <v>44643</v>
      </c>
      <c r="C30" s="30"/>
      <c r="D30" s="42"/>
      <c r="E30" s="78"/>
      <c r="F30" s="78"/>
      <c r="G30" s="68" t="str">
        <f t="shared" si="1"/>
        <v/>
      </c>
      <c r="H30" s="69" t="str">
        <f t="shared" si="2"/>
        <v/>
      </c>
      <c r="I30" s="41" t="str">
        <f t="shared" si="3"/>
        <v/>
      </c>
    </row>
    <row r="31" spans="1:18" ht="22.5" customHeight="1" x14ac:dyDescent="0.2">
      <c r="A31" s="31">
        <f t="shared" si="4"/>
        <v>44644</v>
      </c>
      <c r="B31" s="35">
        <f t="shared" si="0"/>
        <v>44644</v>
      </c>
      <c r="C31" s="30"/>
      <c r="D31" s="42"/>
      <c r="E31" s="78"/>
      <c r="F31" s="78"/>
      <c r="G31" s="68" t="str">
        <f t="shared" si="1"/>
        <v/>
      </c>
      <c r="H31" s="69" t="str">
        <f t="shared" si="2"/>
        <v/>
      </c>
      <c r="I31" s="41" t="str">
        <f t="shared" si="3"/>
        <v/>
      </c>
    </row>
    <row r="32" spans="1:18" ht="22.5" customHeight="1" x14ac:dyDescent="0.2">
      <c r="A32" s="31">
        <f t="shared" si="4"/>
        <v>44645</v>
      </c>
      <c r="B32" s="35">
        <f t="shared" si="0"/>
        <v>44645</v>
      </c>
      <c r="C32" s="30"/>
      <c r="D32" s="42"/>
      <c r="E32" s="78"/>
      <c r="F32" s="78"/>
      <c r="G32" s="68" t="str">
        <f t="shared" si="1"/>
        <v/>
      </c>
      <c r="H32" s="69" t="str">
        <f t="shared" si="2"/>
        <v/>
      </c>
      <c r="I32" s="41" t="str">
        <f t="shared" si="3"/>
        <v/>
      </c>
    </row>
    <row r="33" spans="1:9" ht="22.5" customHeight="1" x14ac:dyDescent="0.2">
      <c r="A33" s="31">
        <f t="shared" si="4"/>
        <v>44646</v>
      </c>
      <c r="B33" s="35">
        <f t="shared" si="0"/>
        <v>44646</v>
      </c>
      <c r="C33" s="30"/>
      <c r="D33" s="42"/>
      <c r="E33" s="78"/>
      <c r="F33" s="78"/>
      <c r="G33" s="68" t="str">
        <f t="shared" si="1"/>
        <v/>
      </c>
      <c r="H33" s="69" t="str">
        <f t="shared" si="2"/>
        <v/>
      </c>
      <c r="I33" s="41" t="str">
        <f t="shared" si="3"/>
        <v/>
      </c>
    </row>
    <row r="34" spans="1:9" ht="22.5" customHeight="1" x14ac:dyDescent="0.2">
      <c r="A34" s="31">
        <f t="shared" si="4"/>
        <v>44647</v>
      </c>
      <c r="B34" s="35">
        <f t="shared" si="0"/>
        <v>44647</v>
      </c>
      <c r="C34" s="30"/>
      <c r="D34" s="42"/>
      <c r="E34" s="78"/>
      <c r="F34" s="78"/>
      <c r="G34" s="68" t="str">
        <f t="shared" si="1"/>
        <v/>
      </c>
      <c r="H34" s="69" t="str">
        <f t="shared" si="2"/>
        <v/>
      </c>
      <c r="I34" s="41" t="str">
        <f t="shared" si="3"/>
        <v/>
      </c>
    </row>
    <row r="35" spans="1:9" ht="22.5" customHeight="1" x14ac:dyDescent="0.2">
      <c r="A35" s="31">
        <f t="shared" si="4"/>
        <v>44648</v>
      </c>
      <c r="B35" s="35">
        <f t="shared" si="0"/>
        <v>44648</v>
      </c>
      <c r="C35" s="30"/>
      <c r="D35" s="42"/>
      <c r="E35" s="78"/>
      <c r="F35" s="78"/>
      <c r="G35" s="68" t="str">
        <f t="shared" si="1"/>
        <v/>
      </c>
      <c r="H35" s="69" t="str">
        <f t="shared" si="2"/>
        <v/>
      </c>
      <c r="I35" s="41" t="str">
        <f t="shared" si="3"/>
        <v/>
      </c>
    </row>
    <row r="36" spans="1:9" ht="22.5" customHeight="1" x14ac:dyDescent="0.2">
      <c r="A36" s="31">
        <f t="shared" si="4"/>
        <v>44649</v>
      </c>
      <c r="B36" s="35">
        <f t="shared" si="0"/>
        <v>44649</v>
      </c>
      <c r="C36" s="30"/>
      <c r="D36" s="42"/>
      <c r="E36" s="78"/>
      <c r="F36" s="78"/>
      <c r="G36" s="68" t="str">
        <f t="shared" si="1"/>
        <v/>
      </c>
      <c r="H36" s="69" t="str">
        <f t="shared" si="2"/>
        <v/>
      </c>
      <c r="I36" s="41" t="str">
        <f t="shared" si="3"/>
        <v/>
      </c>
    </row>
    <row r="37" spans="1:9" ht="22.5" customHeight="1" x14ac:dyDescent="0.2">
      <c r="A37" s="31">
        <f t="shared" si="4"/>
        <v>44650</v>
      </c>
      <c r="B37" s="35">
        <f t="shared" si="0"/>
        <v>44650</v>
      </c>
      <c r="C37" s="30"/>
      <c r="D37" s="42"/>
      <c r="E37" s="78"/>
      <c r="F37" s="78"/>
      <c r="G37" s="68" t="str">
        <f t="shared" si="1"/>
        <v/>
      </c>
      <c r="H37" s="69" t="str">
        <f t="shared" si="2"/>
        <v/>
      </c>
      <c r="I37" s="41" t="str">
        <f t="shared" si="3"/>
        <v/>
      </c>
    </row>
    <row r="38" spans="1:9" ht="22.5" customHeight="1" thickBot="1" x14ac:dyDescent="0.25">
      <c r="A38" s="36">
        <f t="shared" si="4"/>
        <v>44651</v>
      </c>
      <c r="B38" s="37">
        <f t="shared" si="0"/>
        <v>44651</v>
      </c>
      <c r="C38" s="30"/>
      <c r="D38" s="42"/>
      <c r="E38" s="78"/>
      <c r="F38" s="78"/>
      <c r="G38" s="68" t="str">
        <f t="shared" si="1"/>
        <v/>
      </c>
      <c r="H38" s="69" t="str">
        <f t="shared" si="2"/>
        <v/>
      </c>
      <c r="I38" s="41" t="str">
        <f t="shared" si="3"/>
        <v/>
      </c>
    </row>
    <row r="39" spans="1:9" s="74" customFormat="1" ht="24.9" customHeight="1" thickTop="1" thickBot="1" x14ac:dyDescent="0.25">
      <c r="A39" s="103" t="s">
        <v>6</v>
      </c>
      <c r="B39" s="104"/>
      <c r="C39" s="71"/>
      <c r="D39" s="72"/>
      <c r="E39" s="32">
        <f>COUNT(E8:E38)</f>
        <v>0</v>
      </c>
      <c r="F39" s="73"/>
      <c r="G39" s="33">
        <f>SUM(G8:G38)</f>
        <v>0</v>
      </c>
      <c r="H39" s="33">
        <f>SUM(H8:H38)</f>
        <v>0</v>
      </c>
      <c r="I39" s="34">
        <f>SUM(I8:I38)</f>
        <v>0</v>
      </c>
    </row>
    <row r="40" spans="1:9" s="74" customFormat="1" ht="15.75" customHeight="1" x14ac:dyDescent="0.2">
      <c r="A40" s="51"/>
      <c r="B40" s="51"/>
      <c r="C40" s="75"/>
      <c r="D40" s="75"/>
      <c r="E40" s="76"/>
      <c r="F40" s="76"/>
      <c r="G40" s="76"/>
      <c r="H40" s="76"/>
      <c r="I40" s="76"/>
    </row>
    <row r="41" spans="1:9" ht="20.399999999999999" x14ac:dyDescent="0.2">
      <c r="A41" s="102" t="s">
        <v>63</v>
      </c>
      <c r="B41" s="102"/>
      <c r="C41" s="102"/>
      <c r="D41" s="102"/>
      <c r="E41" s="102"/>
      <c r="F41" s="102"/>
      <c r="G41" s="102"/>
      <c r="H41" s="102"/>
      <c r="I41" s="102"/>
    </row>
  </sheetData>
  <sheetProtection sheet="1"/>
  <mergeCells count="5">
    <mergeCell ref="G6:I6"/>
    <mergeCell ref="A1:C1"/>
    <mergeCell ref="A7:B7"/>
    <mergeCell ref="A41:I41"/>
    <mergeCell ref="A39:B39"/>
  </mergeCells>
  <phoneticPr fontId="3"/>
  <conditionalFormatting sqref="A8:B38">
    <cfRule type="expression" dxfId="2" priority="1" stopIfTrue="1">
      <formula>WEEKDAY($A8)=1</formula>
    </cfRule>
    <cfRule type="expression" dxfId="1" priority="2" stopIfTrue="1">
      <formula>WEEKDAY($A8)=7</formula>
    </cfRule>
    <cfRule type="expression" dxfId="0" priority="3" stopIfTrue="1">
      <formula>国民の祝日($A8,0)</formula>
    </cfRule>
  </conditionalFormatting>
  <dataValidations count="1">
    <dataValidation type="list" showInputMessage="1" sqref="D8:D38" xr:uid="{00000000-0002-0000-0F00-000000000000}">
      <formula1>備考</formula1>
    </dataValidation>
  </dataValidations>
  <printOptions horizontalCentered="1" verticalCentered="1"/>
  <pageMargins left="0.31496062992125984" right="0.39370078740157483" top="0.39370078740157483" bottom="0" header="0.35433070866141736" footer="0.27559055118110237"/>
  <pageSetup paperSize="9" scale="88" orientation="portrait" cellComments="asDisplayed"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17</vt:i4>
      </vt:variant>
    </vt:vector>
  </HeadingPairs>
  <TitlesOfParts>
    <vt:vector size="33" baseType="lpstr">
      <vt:lpstr>定数</vt:lpstr>
      <vt:lpstr>記入例</vt:lpstr>
      <vt:lpstr>届出</vt:lpstr>
      <vt:lpstr>振替出勤管理表</vt:lpstr>
      <vt:lpstr>4月</vt:lpstr>
      <vt:lpstr>5月</vt:lpstr>
      <vt:lpstr>6月</vt:lpstr>
      <vt:lpstr>7月</vt:lpstr>
      <vt:lpstr>8月</vt:lpstr>
      <vt:lpstr>9月</vt:lpstr>
      <vt:lpstr>10月</vt:lpstr>
      <vt:lpstr>11月</vt:lpstr>
      <vt:lpstr>12月</vt:lpstr>
      <vt:lpstr>1月</vt:lpstr>
      <vt:lpstr>2月</vt:lpstr>
      <vt:lpstr>3月</vt:lpstr>
      <vt:lpstr>'10月'!Print_Area</vt:lpstr>
      <vt:lpstr>'11月'!Print_Area</vt:lpstr>
      <vt:lpstr>'12月'!Print_Area</vt:lpstr>
      <vt:lpstr>'1月'!Print_Area</vt:lpstr>
      <vt:lpstr>'2月'!Print_Area</vt:lpstr>
      <vt:lpstr>'3月'!Print_Area</vt:lpstr>
      <vt:lpstr>'4月'!Print_Area</vt:lpstr>
      <vt:lpstr>'5月'!Print_Area</vt:lpstr>
      <vt:lpstr>'6月'!Print_Area</vt:lpstr>
      <vt:lpstr>'7月'!Print_Area</vt:lpstr>
      <vt:lpstr>'8月'!Print_Area</vt:lpstr>
      <vt:lpstr>'9月'!Print_Area</vt:lpstr>
      <vt:lpstr>記入例!Print_Area</vt:lpstr>
      <vt:lpstr>社員番号</vt:lpstr>
      <vt:lpstr>年度開始年月日</vt:lpstr>
      <vt:lpstr>備考</vt:lpstr>
      <vt:lpstr>名前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yumasky</dc:creator>
  <cp:lastModifiedBy>yumasky</cp:lastModifiedBy>
  <cp:lastPrinted>2011-04-16T09:51:50Z</cp:lastPrinted>
  <dcterms:created xsi:type="dcterms:W3CDTF">2000-07-19T05:24:11Z</dcterms:created>
  <dcterms:modified xsi:type="dcterms:W3CDTF">2021-05-27T13:13:44Z</dcterms:modified>
</cp:coreProperties>
</file>